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STORAGE -  SHUTTER " sheetId="2" r:id="rId6"/>
    <sheet state="visible" name=" STORAGE  - OPEN  " sheetId="3" r:id="rId7"/>
    <sheet state="hidden" name="VANITY -old" sheetId="4" r:id="rId8"/>
    <sheet state="hidden" name="STORAGE - " sheetId="5" r:id="rId9"/>
    <sheet state="hidden" name=" STORAGE - OPEN -old " sheetId="6" r:id="rId10"/>
  </sheets>
  <definedNames/>
  <calcPr/>
</workbook>
</file>

<file path=xl/sharedStrings.xml><?xml version="1.0" encoding="utf-8"?>
<sst xmlns="http://schemas.openxmlformats.org/spreadsheetml/2006/main" count="1065" uniqueCount="334">
  <si>
    <t>MATERIAL</t>
  </si>
  <si>
    <t>LABOUR MASTER</t>
  </si>
  <si>
    <t xml:space="preserve">BRAND </t>
  </si>
  <si>
    <t xml:space="preserve">GREEN PANEL </t>
  </si>
  <si>
    <t>ACTION TESSA</t>
  </si>
  <si>
    <t>Sl NO</t>
  </si>
  <si>
    <t>Description</t>
  </si>
  <si>
    <t>Unit</t>
  </si>
  <si>
    <t>Rate ( GST)</t>
  </si>
  <si>
    <t>sft price</t>
  </si>
  <si>
    <t>Wages inc of PF</t>
  </si>
  <si>
    <t>SIZE</t>
  </si>
  <si>
    <t xml:space="preserve">sft price </t>
  </si>
  <si>
    <t>MRP//board</t>
  </si>
  <si>
    <t xml:space="preserve">discount </t>
  </si>
  <si>
    <t>SP//board</t>
  </si>
  <si>
    <t xml:space="preserve">selling sft price </t>
  </si>
  <si>
    <t xml:space="preserve">MRP//board with GST </t>
  </si>
  <si>
    <t xml:space="preserve">MDF - 2.1mm </t>
  </si>
  <si>
    <t>Per sheet</t>
  </si>
  <si>
    <t xml:space="preserve">overall </t>
  </si>
  <si>
    <t>Carpenter</t>
  </si>
  <si>
    <t>man-day</t>
  </si>
  <si>
    <t xml:space="preserve">MDF -2.1mm </t>
  </si>
  <si>
    <t>4 ' x	8 ''</t>
  </si>
  <si>
    <t xml:space="preserve">MDF - 3.3mm </t>
  </si>
  <si>
    <t>Helper</t>
  </si>
  <si>
    <t xml:space="preserve">MDF -3.3mm </t>
  </si>
  <si>
    <t xml:space="preserve">MDF - 5.5mm </t>
  </si>
  <si>
    <t xml:space="preserve">Storage </t>
  </si>
  <si>
    <t>SFT</t>
  </si>
  <si>
    <t xml:space="preserve">MDF -5.5mm </t>
  </si>
  <si>
    <t xml:space="preserve">MDF - 7.5mm </t>
  </si>
  <si>
    <t>Open storage</t>
  </si>
  <si>
    <t xml:space="preserve">MDF -7.5mm </t>
  </si>
  <si>
    <t xml:space="preserve">MDF - 11mm </t>
  </si>
  <si>
    <t>Architrev -Direct</t>
  </si>
  <si>
    <t>RFT</t>
  </si>
  <si>
    <t xml:space="preserve">MDF -11mm </t>
  </si>
  <si>
    <t xml:space="preserve">MDF - 17mm </t>
  </si>
  <si>
    <t xml:space="preserve">Architrev -With frame </t>
  </si>
  <si>
    <t xml:space="preserve">MDF -17mm </t>
  </si>
  <si>
    <t xml:space="preserve">MDF - 25mm </t>
  </si>
  <si>
    <t xml:space="preserve">PLAINING </t>
  </si>
  <si>
    <t xml:space="preserve">MDF -25mm </t>
  </si>
  <si>
    <t xml:space="preserve">MDF - 30mm </t>
  </si>
  <si>
    <t>BEVELLING</t>
  </si>
  <si>
    <t xml:space="preserve">MDF -30mm </t>
  </si>
  <si>
    <t xml:space="preserve">HDF - 3.3mm </t>
  </si>
  <si>
    <t xml:space="preserve">HDF -3.3mm </t>
  </si>
  <si>
    <t xml:space="preserve">HDF - 5.5mm </t>
  </si>
  <si>
    <t xml:space="preserve">HDF -5.5mm </t>
  </si>
  <si>
    <t xml:space="preserve">HDF - 7.5mm </t>
  </si>
  <si>
    <t xml:space="preserve">HDF -7.5mm </t>
  </si>
  <si>
    <t xml:space="preserve">HDF - 11mm </t>
  </si>
  <si>
    <t xml:space="preserve">HDF -11mm </t>
  </si>
  <si>
    <t xml:space="preserve">HDF - 17mm </t>
  </si>
  <si>
    <t xml:space="preserve">HDF -17mm </t>
  </si>
  <si>
    <t xml:space="preserve">HDF - 25mm </t>
  </si>
  <si>
    <t xml:space="preserve">HDF -25mm </t>
  </si>
  <si>
    <t xml:space="preserve">HD - HMR - 3mm </t>
  </si>
  <si>
    <t xml:space="preserve">HD-HMR -3mm </t>
  </si>
  <si>
    <t xml:space="preserve">HD - HMR - 5.5mm </t>
  </si>
  <si>
    <t xml:space="preserve">HD-HMR -5.5mm </t>
  </si>
  <si>
    <t xml:space="preserve">HD - HMR - 8mm </t>
  </si>
  <si>
    <t xml:space="preserve">HD-HMR -8mm </t>
  </si>
  <si>
    <t xml:space="preserve">HD - HMR - 12mm </t>
  </si>
  <si>
    <t xml:space="preserve">HD-HMR -12mm </t>
  </si>
  <si>
    <t xml:space="preserve">HD - HMR - 16mm </t>
  </si>
  <si>
    <t xml:space="preserve">HD-HMR -16mm </t>
  </si>
  <si>
    <t xml:space="preserve">HD - HMR - 18mm </t>
  </si>
  <si>
    <t xml:space="preserve">HD-HMR -18mm </t>
  </si>
  <si>
    <t>GREEN PLY</t>
  </si>
  <si>
    <t xml:space="preserve">Century </t>
  </si>
  <si>
    <t xml:space="preserve">MRP//board incl gst </t>
  </si>
  <si>
    <t xml:space="preserve">SP//board ex GST </t>
  </si>
  <si>
    <t>PLY MR  - 6mm</t>
  </si>
  <si>
    <t>ply MR  - 6mm</t>
  </si>
  <si>
    <t>PLY MR  - 8mm</t>
  </si>
  <si>
    <t>ply MR  - 8mm</t>
  </si>
  <si>
    <t>PLY MR  - 12mm</t>
  </si>
  <si>
    <t>ply MR  - 12mm</t>
  </si>
  <si>
    <t>PLY MR  - 15mm</t>
  </si>
  <si>
    <t>ply MR  - 15mm</t>
  </si>
  <si>
    <t>PLY MR  - 18mm</t>
  </si>
  <si>
    <t>ply MR  - 18mm</t>
  </si>
  <si>
    <t>PLY MR  - 25mm</t>
  </si>
  <si>
    <t>ply MR  - 25mm</t>
  </si>
  <si>
    <t>PLY BWR - 6mm</t>
  </si>
  <si>
    <t>ply BWR - 6mm</t>
  </si>
  <si>
    <t>PLY BWR  - 9mm</t>
  </si>
  <si>
    <t>ply BWR  - 9mm</t>
  </si>
  <si>
    <t>PLY BWR- 12mm</t>
  </si>
  <si>
    <t>ply BWR- 12mm</t>
  </si>
  <si>
    <t>PLY BWR- 16mm</t>
  </si>
  <si>
    <t>ply BWR- 16mm</t>
  </si>
  <si>
    <t>PLY BWR- 19mm</t>
  </si>
  <si>
    <t>ply BWR- 19mm</t>
  </si>
  <si>
    <t>PLY BWP - 6mm</t>
  </si>
  <si>
    <t>ply BWP - 6mm</t>
  </si>
  <si>
    <t>PLY BWP - 9mm</t>
  </si>
  <si>
    <t>ply BWP - 9mm</t>
  </si>
  <si>
    <t>PLY BWP - 12mm</t>
  </si>
  <si>
    <t>ply BWP - 12mm</t>
  </si>
  <si>
    <t>PLY BWP - 16mm</t>
  </si>
  <si>
    <t>ply BWP - 16mm</t>
  </si>
  <si>
    <t>PLY BWP - 19mm</t>
  </si>
  <si>
    <t>ply BWP - 19mm</t>
  </si>
  <si>
    <t>Blockboard -19mm</t>
  </si>
  <si>
    <t>Blockboard -25mm</t>
  </si>
  <si>
    <t xml:space="preserve">Flexiply - 6mm </t>
  </si>
  <si>
    <t xml:space="preserve">Flexiply - 8mm </t>
  </si>
  <si>
    <t xml:space="preserve">Flexiply - 12mm </t>
  </si>
  <si>
    <t>WPC Board</t>
  </si>
  <si>
    <t xml:space="preserve">0.8mm Off white laminate </t>
  </si>
  <si>
    <t xml:space="preserve">0.8mm Colour laminate </t>
  </si>
  <si>
    <t xml:space="preserve">SF Laminate </t>
  </si>
  <si>
    <t xml:space="preserve">HGL Laminate </t>
  </si>
  <si>
    <t>MR+ Laminate</t>
  </si>
  <si>
    <t xml:space="preserve">Marble Laminate -Glossy </t>
  </si>
  <si>
    <t>Marble Finish  -Matt</t>
  </si>
  <si>
    <t xml:space="preserve">Marble Finish -Royal Touch  </t>
  </si>
  <si>
    <t>Veneer (120/sft)_</t>
  </si>
  <si>
    <t>Veneer (150/sft)</t>
  </si>
  <si>
    <t>Acrylic(110/SFT)</t>
  </si>
  <si>
    <t>Acrylic(155/SFT)</t>
  </si>
  <si>
    <t>PU Coating</t>
  </si>
  <si>
    <t>Sft.</t>
  </si>
  <si>
    <t>Facia</t>
  </si>
  <si>
    <t>Duco</t>
  </si>
  <si>
    <t xml:space="preserve">Bronze Mirror -Side Polish </t>
  </si>
  <si>
    <t>sft</t>
  </si>
  <si>
    <t xml:space="preserve">Bronze Mirror - Corner Bevelled </t>
  </si>
  <si>
    <t xml:space="preserve">5mm Mirror -Side Polish </t>
  </si>
  <si>
    <t xml:space="preserve">5mm Mirror -Corner Bevelled </t>
  </si>
  <si>
    <t>Melamine (on veneer )</t>
  </si>
  <si>
    <t>Jaali-6mm MDF+DUCO</t>
  </si>
  <si>
    <t>Jaali-6mm MDF+Enamel</t>
  </si>
  <si>
    <t>Jaali-6mm WPC +Enamel( inside only )</t>
  </si>
  <si>
    <t>Jaali-8mm MDF+DUCO</t>
  </si>
  <si>
    <t>Jaali-8mm MDF+Enamel</t>
  </si>
  <si>
    <t>Jaali-8mm WPC +Enamel( inside only )</t>
  </si>
  <si>
    <t>Jaali-12mm MDF+DUCO</t>
  </si>
  <si>
    <t>Jaali-12mm MDF+Enamel</t>
  </si>
  <si>
    <t>Jaali-12mm WPC +Enamel( inside only )</t>
  </si>
  <si>
    <t>Jaali-18mm MDF+DUCO</t>
  </si>
  <si>
    <t>Jaali-18mm MDF+Enamel</t>
  </si>
  <si>
    <t>Jaali-18mm WPC +Enamel( inside only )</t>
  </si>
  <si>
    <t>Jaali(18mm MDF )</t>
  </si>
  <si>
    <t>Jaali(25mm MDF )</t>
  </si>
  <si>
    <t>Beading</t>
  </si>
  <si>
    <t>rft</t>
  </si>
  <si>
    <t>Fevicol (SH+SR)</t>
  </si>
  <si>
    <t>Kg</t>
  </si>
  <si>
    <t>Nails</t>
  </si>
  <si>
    <t>Handle</t>
  </si>
  <si>
    <t>Nos</t>
  </si>
  <si>
    <t>Knobs</t>
  </si>
  <si>
    <t>Hinges</t>
  </si>
  <si>
    <t>Ebco-Non soft</t>
  </si>
  <si>
    <t>Set</t>
  </si>
  <si>
    <t>Ebco-Soft</t>
  </si>
  <si>
    <t>Hettich -Soft</t>
  </si>
  <si>
    <t>Epco Locks</t>
  </si>
  <si>
    <t>Channels for drawers</t>
  </si>
  <si>
    <t>EBCO - 200mm-Normal</t>
  </si>
  <si>
    <t>8 ''</t>
  </si>
  <si>
    <t>EBCO - 250mm--Normal</t>
  </si>
  <si>
    <t>10 ''</t>
  </si>
  <si>
    <t>EBCO - 300mm-Normal</t>
  </si>
  <si>
    <t>12 ''</t>
  </si>
  <si>
    <t>EBCO - 350mm-Normal</t>
  </si>
  <si>
    <t>14 ''</t>
  </si>
  <si>
    <t>EBCO - 400mm-Normal</t>
  </si>
  <si>
    <t>16 ''</t>
  </si>
  <si>
    <t>EBCO - 450mm-Normal</t>
  </si>
  <si>
    <t>18 ''</t>
  </si>
  <si>
    <t>EBCO - 500mm-Normal</t>
  </si>
  <si>
    <t>20 ''</t>
  </si>
  <si>
    <t>EBCO - 550mm-Normal</t>
  </si>
  <si>
    <t>22 ''</t>
  </si>
  <si>
    <t>EBCO - 600mm-Normal</t>
  </si>
  <si>
    <t>24 ''</t>
  </si>
  <si>
    <t>EBCO - 300mm-soft close</t>
  </si>
  <si>
    <t>EBCO - 350mm-soft close</t>
  </si>
  <si>
    <t>EBCO - 400mm-soft close</t>
  </si>
  <si>
    <t>EBCO - 450mm-soft close</t>
  </si>
  <si>
    <t>EBCO - 500mm-soft close</t>
  </si>
  <si>
    <t>EBCO - 550mm-soft close</t>
  </si>
  <si>
    <t>EBCO - 600mm-soft close</t>
  </si>
  <si>
    <t>hafele - 300mm</t>
  </si>
  <si>
    <t>hafele - 350mm</t>
  </si>
  <si>
    <t>hafele - 400mm</t>
  </si>
  <si>
    <t>hafele - 450mm</t>
  </si>
  <si>
    <t>hafele - 500mm</t>
  </si>
  <si>
    <t>Others</t>
  </si>
  <si>
    <t>Legs- SS/Rubber</t>
  </si>
  <si>
    <t>nos</t>
  </si>
  <si>
    <t>Wooden Ghatta</t>
  </si>
  <si>
    <t xml:space="preserve">Glass with plaining </t>
  </si>
  <si>
    <t>5mm Clear Glass</t>
  </si>
  <si>
    <t>6mm Clear Glass</t>
  </si>
  <si>
    <t>8mm Clear Glass</t>
  </si>
  <si>
    <t>8mm Clear Touhghen Glass</t>
  </si>
  <si>
    <t>10mm Clear Touhghen Glass</t>
  </si>
  <si>
    <t>12mm Clear Touhghen Glass</t>
  </si>
  <si>
    <t>Mirror</t>
  </si>
  <si>
    <t>5mm Brown Mirror</t>
  </si>
  <si>
    <t>5mm Mirror</t>
  </si>
  <si>
    <t xml:space="preserve">Polish </t>
  </si>
  <si>
    <t>Melamine</t>
  </si>
  <si>
    <t>STORAGE - SHUTTER</t>
  </si>
  <si>
    <t>Nos(cove)</t>
  </si>
  <si>
    <t>Shelves (horizontal)</t>
  </si>
  <si>
    <t xml:space="preserve">wall cabinet- 700X600X300MM                                         </t>
  </si>
  <si>
    <t>Length ( Meters)</t>
  </si>
  <si>
    <t>M</t>
  </si>
  <si>
    <t>Partition (vertical)</t>
  </si>
  <si>
    <t>Height (Meters)</t>
  </si>
  <si>
    <t>Shutters</t>
  </si>
  <si>
    <t>Depth (Meters)</t>
  </si>
  <si>
    <t>Internal drawers</t>
  </si>
  <si>
    <t xml:space="preserve">Base Material </t>
  </si>
  <si>
    <t xml:space="preserve">Secondary Material </t>
  </si>
  <si>
    <t xml:space="preserve">Additional 
</t>
  </si>
  <si>
    <t>Internal Finish</t>
  </si>
  <si>
    <t>External Finish</t>
  </si>
  <si>
    <t>Area(SFT)</t>
  </si>
  <si>
    <t xml:space="preserve"> Drawer Channel</t>
  </si>
  <si>
    <t>Rate/Sft.</t>
  </si>
  <si>
    <t>Low Value</t>
  </si>
  <si>
    <t>Yes</t>
  </si>
  <si>
    <t>Amount</t>
  </si>
  <si>
    <t xml:space="preserve">Actual Material usage post wastage </t>
  </si>
  <si>
    <t xml:space="preserve">Absolute  Pending material  post wastage </t>
  </si>
  <si>
    <t>NOs</t>
  </si>
  <si>
    <t xml:space="preserve">MATERIAL CALCULATION </t>
  </si>
  <si>
    <t xml:space="preserve">Area </t>
  </si>
  <si>
    <t xml:space="preserve">LENGTH </t>
  </si>
  <si>
    <t xml:space="preserve">HEIGHT </t>
  </si>
  <si>
    <t xml:space="preserve">DEPTH </t>
  </si>
  <si>
    <t xml:space="preserve">PARTITION </t>
  </si>
  <si>
    <t xml:space="preserve">DRAWERS </t>
  </si>
  <si>
    <t xml:space="preserve">SHUTTERS </t>
  </si>
  <si>
    <t xml:space="preserve">  </t>
  </si>
  <si>
    <t xml:space="preserve">BILL OF MATERIALS (Per Unit)				</t>
  </si>
  <si>
    <t xml:space="preserve">CATEGORY </t>
  </si>
  <si>
    <t xml:space="preserve">ITEM </t>
  </si>
  <si>
    <t>UOM</t>
  </si>
  <si>
    <t xml:space="preserve">QUANTITY </t>
  </si>
  <si>
    <t xml:space="preserve">RATE </t>
  </si>
  <si>
    <t xml:space="preserve">AMOUNT </t>
  </si>
  <si>
    <t>L</t>
  </si>
  <si>
    <t>H</t>
  </si>
  <si>
    <t>D</t>
  </si>
  <si>
    <t>Quantity</t>
  </si>
  <si>
    <t>BM</t>
  </si>
  <si>
    <t>SM</t>
  </si>
  <si>
    <t>NOS</t>
  </si>
  <si>
    <t xml:space="preserve">BASE MATERIAL </t>
  </si>
  <si>
    <t>Secondary Material</t>
  </si>
  <si>
    <t>Front/Shutter&amp;Back</t>
  </si>
  <si>
    <t>Sides</t>
  </si>
  <si>
    <t xml:space="preserve">internal Polish                                                                 "        </t>
  </si>
  <si>
    <t>Top/Bottom</t>
  </si>
  <si>
    <t>Partition</t>
  </si>
  <si>
    <t xml:space="preserve">External Polish                                                                 </t>
  </si>
  <si>
    <t xml:space="preserve">shelves </t>
  </si>
  <si>
    <t xml:space="preserve">Adhessive </t>
  </si>
  <si>
    <t>KG</t>
  </si>
  <si>
    <t>Drawers</t>
  </si>
  <si>
    <t>Handle /Knob</t>
  </si>
  <si>
    <t>Base</t>
  </si>
  <si>
    <t>PAIRS</t>
  </si>
  <si>
    <t>Sides(R/L)</t>
  </si>
  <si>
    <t>Sides(F/B)</t>
  </si>
  <si>
    <t xml:space="preserve">lock </t>
  </si>
  <si>
    <r>
      <rPr>
        <rFont val="Arial"/>
        <b/>
        <color theme="1"/>
        <sz val="11.0"/>
      </rPr>
      <t>Total(</t>
    </r>
    <r>
      <rPr>
        <rFont val="Arial"/>
        <b val="0"/>
        <color theme="1"/>
        <sz val="11.0"/>
      </rPr>
      <t>SQM)</t>
    </r>
  </si>
  <si>
    <r>
      <rPr>
        <rFont val="Arial"/>
        <b/>
        <color theme="1"/>
        <sz val="11.0"/>
      </rPr>
      <t>Total(</t>
    </r>
    <r>
      <rPr>
        <rFont val="Arial"/>
        <b val="0"/>
        <color theme="1"/>
        <sz val="11.0"/>
      </rPr>
      <t>SFT)</t>
    </r>
  </si>
  <si>
    <t xml:space="preserve">jaali </t>
  </si>
  <si>
    <t xml:space="preserve">Additional </t>
  </si>
  <si>
    <t xml:space="preserve">FINISHING MATERIAL </t>
  </si>
  <si>
    <t xml:space="preserve">INTERNAL FINISH </t>
  </si>
  <si>
    <t xml:space="preserve">Miscellaneous item </t>
  </si>
  <si>
    <t>LS</t>
  </si>
  <si>
    <t>Front/Shutter  &amp;Back</t>
  </si>
  <si>
    <t>Labour</t>
  </si>
  <si>
    <t xml:space="preserve">Transportation </t>
  </si>
  <si>
    <t>Total (COGS)</t>
  </si>
  <si>
    <t>/sft</t>
  </si>
  <si>
    <t>Vendor Price</t>
  </si>
  <si>
    <t xml:space="preserve">HL Price price </t>
  </si>
  <si>
    <t>SQM</t>
  </si>
  <si>
    <t>Total</t>
  </si>
  <si>
    <t xml:space="preserve">External FINISH </t>
  </si>
  <si>
    <t xml:space="preserve">Material </t>
  </si>
  <si>
    <t>Area      (Sft)</t>
  </si>
  <si>
    <t>Area (inc 10% wastage)</t>
  </si>
  <si>
    <t>Panel (nos)</t>
  </si>
  <si>
    <t>Panel (optimized)</t>
  </si>
  <si>
    <t xml:space="preserve">internal Polish 								"	</t>
  </si>
  <si>
    <t>-</t>
  </si>
  <si>
    <t xml:space="preserve"> STORAGE  - OPEN  </t>
  </si>
  <si>
    <t xml:space="preserve">Open unit- 500X600X300MM </t>
  </si>
  <si>
    <t xml:space="preserve">Finish </t>
  </si>
  <si>
    <t>Back</t>
  </si>
  <si>
    <t xml:space="preserve"> </t>
  </si>
  <si>
    <t>Total(Sqm)</t>
  </si>
  <si>
    <t>Total(SFT)</t>
  </si>
  <si>
    <t xml:space="preserve">storage </t>
  </si>
  <si>
    <t>Finish</t>
  </si>
  <si>
    <t xml:space="preserve">Polish                                                                 "        </t>
  </si>
  <si>
    <t xml:space="preserve">SHELVES </t>
  </si>
  <si>
    <t>HEIGHT</t>
  </si>
  <si>
    <t xml:space="preserve">AREA </t>
  </si>
  <si>
    <t xml:space="preserve">ply BWR - 18mm </t>
  </si>
  <si>
    <t xml:space="preserve">0.8mm white </t>
  </si>
  <si>
    <t xml:space="preserve">B M </t>
  </si>
  <si>
    <t xml:space="preserve">Sf laminate </t>
  </si>
  <si>
    <t>I F</t>
  </si>
  <si>
    <t>E F</t>
  </si>
  <si>
    <t>Hetich -Soft</t>
  </si>
  <si>
    <t>Jaali(12mm MDF )</t>
  </si>
  <si>
    <t>Sides (F/B)</t>
  </si>
  <si>
    <t>8mm Extra Clear Glass</t>
  </si>
  <si>
    <t xml:space="preserve">GRAND TOTAL </t>
  </si>
  <si>
    <t xml:space="preserve">INC GST </t>
  </si>
  <si>
    <t xml:space="preserve"> INC HANDELING FEE </t>
  </si>
  <si>
    <t>Back panel</t>
  </si>
  <si>
    <t xml:space="preserve">MDF -18mm </t>
  </si>
  <si>
    <t>F</t>
  </si>
  <si>
    <t>10mm Clear Glass</t>
  </si>
  <si>
    <t xml:space="preserve">open storage </t>
  </si>
  <si>
    <t xml:space="preserve">INC  HANDELING FEE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</si>
</sst>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0 &quot;' x&quot;"/>
    <numFmt numFmtId="165" formatCode="0 &quot;''&quot;"/>
    <numFmt numFmtId="166" formatCode="0 &quot;/-&quot;"/>
    <numFmt numFmtId="167" formatCode="0.0 &quot;/-&quot;"/>
    <numFmt numFmtId="168" formatCode="0 &quot;/sft&quot;"/>
    <numFmt numFmtId="169" formatCode="0 &quot;/rft&quot;"/>
    <numFmt numFmtId="170" formatCode="[&gt;9999999]##\,##\,##\,##0.00;[&gt;99999]##\,##\,##0.00;##,##0.00"/>
    <numFmt numFmtId="171" formatCode="0 &quot;/ per sft&quot;"/>
    <numFmt numFmtId="172" formatCode="[&gt;9999999]##\,##\,##\,##0;[&gt;99999]##\,##\,##0;##,##0"/>
    <numFmt numFmtId="173" formatCode="0.0"/>
    <numFmt numFmtId="174" formatCode="[&gt;9999999]##\,##\,##\,##0.0;[&gt;99999]##\,##\,##0.0;##,##0.0"/>
    <numFmt numFmtId="175" formatCode="0 &quot;sheet&quot;"/>
    <numFmt numFmtId="176" formatCode="0 &quot;sft&quot;"/>
  </numFmts>
  <fonts count="29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b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8.0"/>
      <color theme="1"/>
      <name val="Arial"/>
      <scheme val="minor"/>
    </font>
    <font>
      <b/>
      <sz val="12.0"/>
      <color rgb="FF222222"/>
      <name val="&quot;Google Sans&quot;"/>
    </font>
    <font>
      <b/>
      <sz val="18.0"/>
      <color theme="1"/>
      <name val="Arial"/>
      <scheme val="minor"/>
    </font>
    <font>
      <sz val="11.0"/>
      <color theme="1"/>
      <name val="Lato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5.0"/>
      <color theme="1"/>
      <name val="Arial"/>
      <scheme val="minor"/>
    </font>
    <font>
      <sz val="9.0"/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b/>
      <sz val="11.0"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Docs-Lato"/>
    </font>
    <font>
      <b/>
      <color theme="1"/>
      <name val="Arial"/>
      <scheme val="minor"/>
    </font>
    <font>
      <b/>
      <sz val="14.0"/>
      <color theme="1"/>
      <name val="Arial"/>
    </font>
    <font>
      <color rgb="FFFF0000"/>
      <name val="Arial"/>
    </font>
    <font>
      <b/>
      <sz val="12.0"/>
      <color rgb="FF222222"/>
      <name val="Arial"/>
    </font>
    <font>
      <b/>
      <sz val="11.0"/>
      <color theme="1"/>
      <name val="Lato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46BDC6"/>
        <bgColor rgb="FF46BDC6"/>
      </patternFill>
    </fill>
    <fill>
      <patternFill patternType="solid">
        <fgColor rgb="FFA4C2F4"/>
        <bgColor rgb="FFA4C2F4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CCFFFF"/>
        <bgColor rgb="FFCCFFFF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D0E0E3"/>
        <bgColor rgb="FFD0E0E3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</fills>
  <borders count="7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medium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medium">
        <color rgb="FF000000"/>
      </right>
      <bottom style="dotted">
        <color rgb="FF000000"/>
      </bottom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9" fillId="0" fontId="3" numFmtId="0" xfId="0" applyBorder="1" applyFont="1"/>
    <xf borderId="10" fillId="0" fontId="3" numFmtId="0" xfId="0" applyBorder="1" applyFont="1"/>
    <xf borderId="11" fillId="0" fontId="4" numFmtId="0" xfId="0" applyAlignment="1" applyBorder="1" applyFont="1">
      <alignment horizontal="center" vertical="bottom"/>
    </xf>
    <xf borderId="12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13" fillId="0" fontId="4" numFmtId="0" xfId="0" applyAlignment="1" applyBorder="1" applyFont="1">
      <alignment vertical="bottom"/>
    </xf>
    <xf borderId="14" fillId="0" fontId="4" numFmtId="0" xfId="0" applyAlignment="1" applyBorder="1" applyFont="1">
      <alignment vertical="bottom"/>
    </xf>
    <xf borderId="14" fillId="0" fontId="4" numFmtId="0" xfId="0" applyAlignment="1" applyBorder="1" applyFont="1">
      <alignment horizontal="center" vertical="bottom"/>
    </xf>
    <xf borderId="15" fillId="0" fontId="4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7" fillId="0" fontId="2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19" fillId="0" fontId="1" numFmtId="0" xfId="0" applyAlignment="1" applyBorder="1" applyFont="1">
      <alignment horizontal="center" vertical="bottom"/>
    </xf>
    <xf borderId="20" fillId="2" fontId="1" numFmtId="0" xfId="0" applyAlignment="1" applyBorder="1" applyFill="1" applyFont="1">
      <alignment vertical="bottom"/>
    </xf>
    <xf borderId="21" fillId="2" fontId="1" numFmtId="0" xfId="0" applyAlignment="1" applyBorder="1" applyFont="1">
      <alignment vertical="bottom"/>
    </xf>
    <xf borderId="21" fillId="2" fontId="1" numFmtId="164" xfId="0" applyAlignment="1" applyBorder="1" applyFont="1" applyNumberFormat="1">
      <alignment horizontal="right" vertical="bottom"/>
    </xf>
    <xf borderId="22" fillId="2" fontId="1" numFmtId="165" xfId="0" applyAlignment="1" applyBorder="1" applyFont="1" applyNumberFormat="1">
      <alignment horizontal="right" vertical="bottom"/>
    </xf>
    <xf borderId="22" fillId="2" fontId="1" numFmtId="0" xfId="0" applyAlignment="1" applyBorder="1" applyFont="1">
      <alignment horizontal="center" vertical="bottom"/>
    </xf>
    <xf borderId="23" fillId="2" fontId="4" numFmtId="166" xfId="0" applyAlignment="1" applyBorder="1" applyFont="1" applyNumberFormat="1">
      <alignment horizontal="center" vertical="bottom"/>
    </xf>
    <xf borderId="0" fillId="0" fontId="1" numFmtId="167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right" vertical="bottom"/>
    </xf>
    <xf borderId="0" fillId="0" fontId="1" numFmtId="166" xfId="0" applyAlignment="1" applyFont="1" applyNumberFormat="1">
      <alignment vertical="bottom"/>
    </xf>
    <xf borderId="16" fillId="0" fontId="1" numFmtId="0" xfId="0" applyAlignment="1" applyBorder="1" applyFont="1">
      <alignment horizontal="center" vertical="bottom"/>
    </xf>
    <xf borderId="17" fillId="0" fontId="1" numFmtId="0" xfId="0" applyAlignment="1" applyBorder="1" applyFont="1">
      <alignment vertical="bottom"/>
    </xf>
    <xf borderId="17" fillId="0" fontId="1" numFmtId="0" xfId="0" applyAlignment="1" applyBorder="1" applyFont="1">
      <alignment horizontal="center" vertical="bottom"/>
    </xf>
    <xf borderId="18" fillId="3" fontId="1" numFmtId="0" xfId="0" applyAlignment="1" applyBorder="1" applyFill="1" applyFont="1">
      <alignment vertical="bottom"/>
    </xf>
    <xf borderId="16" fillId="2" fontId="1" numFmtId="167" xfId="0" applyAlignment="1" applyBorder="1" applyFont="1" applyNumberFormat="1">
      <alignment vertical="bottom"/>
    </xf>
    <xf borderId="17" fillId="0" fontId="1" numFmtId="167" xfId="0" applyAlignment="1" applyBorder="1" applyFont="1" applyNumberFormat="1">
      <alignment horizontal="right" vertical="bottom"/>
    </xf>
    <xf borderId="17" fillId="0" fontId="1" numFmtId="9" xfId="0" applyAlignment="1" applyBorder="1" applyFont="1" applyNumberFormat="1">
      <alignment horizontal="right" vertical="bottom"/>
    </xf>
    <xf borderId="17" fillId="0" fontId="1" numFmtId="166" xfId="0" applyAlignment="1" applyBorder="1" applyFont="1" applyNumberFormat="1">
      <alignment horizontal="right" vertical="bottom"/>
    </xf>
    <xf borderId="18" fillId="0" fontId="1" numFmtId="166" xfId="0" applyAlignment="1" applyBorder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24" fillId="2" fontId="1" numFmtId="0" xfId="0" applyAlignment="1" applyBorder="1" applyFont="1">
      <alignment vertical="bottom"/>
    </xf>
    <xf borderId="25" fillId="2" fontId="1" numFmtId="0" xfId="0" applyAlignment="1" applyBorder="1" applyFont="1">
      <alignment vertical="bottom"/>
    </xf>
    <xf borderId="25" fillId="2" fontId="1" numFmtId="164" xfId="0" applyAlignment="1" applyBorder="1" applyFont="1" applyNumberFormat="1">
      <alignment horizontal="right" vertical="bottom"/>
    </xf>
    <xf borderId="26" fillId="2" fontId="1" numFmtId="165" xfId="0" applyAlignment="1" applyBorder="1" applyFont="1" applyNumberFormat="1">
      <alignment horizontal="right" vertical="bottom"/>
    </xf>
    <xf borderId="26" fillId="2" fontId="1" numFmtId="0" xfId="0" applyAlignment="1" applyBorder="1" applyFont="1">
      <alignment horizontal="center" vertical="bottom"/>
    </xf>
    <xf borderId="27" fillId="2" fontId="4" numFmtId="166" xfId="0" applyAlignment="1" applyBorder="1" applyFont="1" applyNumberFormat="1">
      <alignment horizontal="center" vertical="bottom"/>
    </xf>
    <xf borderId="17" fillId="0" fontId="1" numFmtId="0" xfId="0" applyAlignment="1" applyBorder="1" applyFont="1">
      <alignment vertical="bottom"/>
    </xf>
    <xf borderId="17" fillId="4" fontId="1" numFmtId="0" xfId="0" applyAlignment="1" applyBorder="1" applyFill="1" applyFont="1">
      <alignment readingOrder="0" vertical="bottom"/>
    </xf>
    <xf borderId="17" fillId="4" fontId="1" numFmtId="168" xfId="0" applyAlignment="1" applyBorder="1" applyFont="1" applyNumberFormat="1">
      <alignment horizontal="center" vertical="bottom"/>
    </xf>
    <xf borderId="18" fillId="4" fontId="1" numFmtId="168" xfId="0" applyAlignment="1" applyBorder="1" applyFont="1" applyNumberFormat="1">
      <alignment readingOrder="0" vertical="bottom"/>
    </xf>
    <xf borderId="17" fillId="4" fontId="1" numFmtId="0" xfId="0" applyAlignment="1" applyBorder="1" applyFont="1">
      <alignment vertical="bottom"/>
    </xf>
    <xf borderId="18" fillId="4" fontId="1" numFmtId="168" xfId="0" applyAlignment="1" applyBorder="1" applyFont="1" applyNumberFormat="1">
      <alignment vertical="bottom"/>
    </xf>
    <xf borderId="17" fillId="4" fontId="1" numFmtId="169" xfId="0" applyAlignment="1" applyBorder="1" applyFont="1" applyNumberFormat="1">
      <alignment horizontal="center" vertical="bottom"/>
    </xf>
    <xf borderId="17" fillId="3" fontId="1" numFmtId="0" xfId="0" applyAlignment="1" applyBorder="1" applyFont="1">
      <alignment vertical="bottom"/>
    </xf>
    <xf borderId="16" fillId="3" fontId="1" numFmtId="0" xfId="0" applyAlignment="1" applyBorder="1" applyFont="1">
      <alignment horizontal="center" vertical="bottom"/>
    </xf>
    <xf borderId="17" fillId="3" fontId="1" numFmtId="0" xfId="0" applyAlignment="1" applyBorder="1" applyFont="1">
      <alignment horizontal="center" vertical="bottom"/>
    </xf>
    <xf borderId="24" fillId="5" fontId="1" numFmtId="0" xfId="0" applyAlignment="1" applyBorder="1" applyFill="1" applyFont="1">
      <alignment vertical="bottom"/>
    </xf>
    <xf borderId="25" fillId="5" fontId="1" numFmtId="0" xfId="0" applyAlignment="1" applyBorder="1" applyFont="1">
      <alignment vertical="bottom"/>
    </xf>
    <xf borderId="25" fillId="5" fontId="1" numFmtId="164" xfId="0" applyAlignment="1" applyBorder="1" applyFont="1" applyNumberFormat="1">
      <alignment horizontal="right" vertical="bottom"/>
    </xf>
    <xf borderId="26" fillId="5" fontId="1" numFmtId="165" xfId="0" applyAlignment="1" applyBorder="1" applyFont="1" applyNumberFormat="1">
      <alignment horizontal="right" vertical="bottom"/>
    </xf>
    <xf borderId="26" fillId="5" fontId="1" numFmtId="0" xfId="0" applyAlignment="1" applyBorder="1" applyFont="1">
      <alignment horizontal="center" vertical="bottom"/>
    </xf>
    <xf borderId="27" fillId="5" fontId="4" numFmtId="166" xfId="0" applyAlignment="1" applyBorder="1" applyFont="1" applyNumberFormat="1">
      <alignment horizontal="center" vertical="bottom"/>
    </xf>
    <xf borderId="16" fillId="0" fontId="1" numFmtId="0" xfId="0" applyAlignment="1" applyBorder="1" applyFont="1">
      <alignment vertical="bottom"/>
    </xf>
    <xf borderId="17" fillId="4" fontId="1" numFmtId="168" xfId="0" applyAlignment="1" applyBorder="1" applyFont="1" applyNumberFormat="1">
      <alignment vertical="bottom"/>
    </xf>
    <xf borderId="16" fillId="5" fontId="1" numFmtId="167" xfId="0" applyAlignment="1" applyBorder="1" applyFont="1" applyNumberFormat="1">
      <alignment vertical="bottom"/>
    </xf>
    <xf borderId="25" fillId="0" fontId="3" numFmtId="0" xfId="0" applyBorder="1" applyFont="1"/>
    <xf borderId="24" fillId="6" fontId="1" numFmtId="0" xfId="0" applyAlignment="1" applyBorder="1" applyFill="1" applyFont="1">
      <alignment vertical="bottom"/>
    </xf>
    <xf borderId="25" fillId="6" fontId="1" numFmtId="0" xfId="0" applyAlignment="1" applyBorder="1" applyFont="1">
      <alignment vertical="bottom"/>
    </xf>
    <xf borderId="25" fillId="6" fontId="1" numFmtId="164" xfId="0" applyAlignment="1" applyBorder="1" applyFont="1" applyNumberFormat="1">
      <alignment horizontal="right" vertical="bottom"/>
    </xf>
    <xf borderId="26" fillId="6" fontId="1" numFmtId="165" xfId="0" applyAlignment="1" applyBorder="1" applyFont="1" applyNumberFormat="1">
      <alignment horizontal="right" vertical="bottom"/>
    </xf>
    <xf borderId="26" fillId="6" fontId="1" numFmtId="0" xfId="0" applyAlignment="1" applyBorder="1" applyFont="1">
      <alignment horizontal="center" vertical="bottom"/>
    </xf>
    <xf borderId="27" fillId="6" fontId="4" numFmtId="166" xfId="0" applyAlignment="1" applyBorder="1" applyFont="1" applyNumberFormat="1">
      <alignment horizontal="center" vertical="bottom"/>
    </xf>
    <xf borderId="16" fillId="6" fontId="1" numFmtId="167" xfId="0" applyAlignment="1" applyBorder="1" applyFont="1" applyNumberFormat="1">
      <alignment vertical="bottom"/>
    </xf>
    <xf borderId="28" fillId="6" fontId="1" numFmtId="0" xfId="0" applyAlignment="1" applyBorder="1" applyFont="1">
      <alignment vertical="bottom"/>
    </xf>
    <xf borderId="29" fillId="6" fontId="1" numFmtId="0" xfId="0" applyAlignment="1" applyBorder="1" applyFont="1">
      <alignment vertical="bottom"/>
    </xf>
    <xf borderId="29" fillId="6" fontId="1" numFmtId="164" xfId="0" applyAlignment="1" applyBorder="1" applyFont="1" applyNumberFormat="1">
      <alignment horizontal="right" vertical="bottom"/>
    </xf>
    <xf borderId="30" fillId="6" fontId="1" numFmtId="165" xfId="0" applyAlignment="1" applyBorder="1" applyFont="1" applyNumberFormat="1">
      <alignment horizontal="right" vertical="bottom"/>
    </xf>
    <xf borderId="30" fillId="6" fontId="1" numFmtId="0" xfId="0" applyAlignment="1" applyBorder="1" applyFont="1">
      <alignment horizontal="center" vertical="bottom"/>
    </xf>
    <xf borderId="31" fillId="6" fontId="4" numFmtId="166" xfId="0" applyAlignment="1" applyBorder="1" applyFont="1" applyNumberFormat="1">
      <alignment horizontal="center" vertical="bottom"/>
    </xf>
    <xf borderId="32" fillId="6" fontId="1" numFmtId="167" xfId="0" applyAlignment="1" applyBorder="1" applyFont="1" applyNumberFormat="1">
      <alignment vertical="bottom"/>
    </xf>
    <xf borderId="33" fillId="0" fontId="1" numFmtId="167" xfId="0" applyAlignment="1" applyBorder="1" applyFont="1" applyNumberFormat="1">
      <alignment horizontal="right" vertical="bottom"/>
    </xf>
    <xf borderId="33" fillId="0" fontId="1" numFmtId="166" xfId="0" applyAlignment="1" applyBorder="1" applyFont="1" applyNumberFormat="1">
      <alignment horizontal="right" vertical="bottom"/>
    </xf>
    <xf borderId="33" fillId="0" fontId="1" numFmtId="9" xfId="0" applyAlignment="1" applyBorder="1" applyFont="1" applyNumberFormat="1">
      <alignment horizontal="right" vertical="bottom"/>
    </xf>
    <xf borderId="34" fillId="0" fontId="1" numFmtId="166" xfId="0" applyAlignment="1" applyBorder="1" applyFont="1" applyNumberFormat="1">
      <alignment horizontal="right" vertical="bottom"/>
    </xf>
    <xf borderId="0" fillId="3" fontId="1" numFmtId="0" xfId="0" applyAlignment="1" applyFont="1">
      <alignment vertical="bottom"/>
    </xf>
    <xf borderId="19" fillId="0" fontId="1" numFmtId="0" xfId="0" applyAlignment="1" applyBorder="1" applyFont="1">
      <alignment vertical="bottom"/>
    </xf>
    <xf borderId="25" fillId="5" fontId="1" numFmtId="164" xfId="0" applyAlignment="1" applyBorder="1" applyFont="1" applyNumberFormat="1">
      <alignment vertical="bottom"/>
    </xf>
    <xf borderId="26" fillId="5" fontId="1" numFmtId="165" xfId="0" applyAlignment="1" applyBorder="1" applyFont="1" applyNumberFormat="1">
      <alignment vertical="bottom"/>
    </xf>
    <xf borderId="26" fillId="5" fontId="1" numFmtId="0" xfId="0" applyAlignment="1" applyBorder="1" applyFont="1">
      <alignment vertical="bottom"/>
    </xf>
    <xf borderId="35" fillId="5" fontId="1" numFmtId="0" xfId="0" applyAlignment="1" applyBorder="1" applyFont="1">
      <alignment vertical="bottom"/>
    </xf>
    <xf borderId="0" fillId="3" fontId="1" numFmtId="164" xfId="0" applyAlignment="1" applyFont="1" applyNumberFormat="1">
      <alignment vertical="bottom"/>
    </xf>
    <xf borderId="36" fillId="5" fontId="1" numFmtId="165" xfId="0" applyAlignment="1" applyBorder="1" applyFont="1" applyNumberFormat="1">
      <alignment vertical="bottom"/>
    </xf>
    <xf borderId="27" fillId="5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37" fillId="0" fontId="2" numFmtId="0" xfId="0" applyAlignment="1" applyBorder="1" applyFont="1">
      <alignment vertical="bottom"/>
    </xf>
    <xf borderId="38" fillId="0" fontId="3" numFmtId="0" xfId="0" applyBorder="1" applyFont="1"/>
    <xf borderId="37" fillId="0" fontId="2" numFmtId="0" xfId="0" applyAlignment="1" applyBorder="1" applyFont="1">
      <alignment horizontal="center" vertical="bottom"/>
    </xf>
    <xf borderId="39" fillId="0" fontId="3" numFmtId="0" xfId="0" applyBorder="1" applyFont="1"/>
    <xf borderId="40" fillId="0" fontId="2" numFmtId="0" xfId="0" applyAlignment="1" applyBorder="1" applyFont="1">
      <alignment vertical="bottom"/>
    </xf>
    <xf borderId="40" fillId="0" fontId="2" numFmtId="0" xfId="0" applyAlignment="1" applyBorder="1" applyFont="1">
      <alignment vertical="bottom"/>
    </xf>
    <xf borderId="28" fillId="4" fontId="1" numFmtId="0" xfId="0" applyAlignment="1" applyBorder="1" applyFont="1">
      <alignment vertical="bottom"/>
    </xf>
    <xf borderId="29" fillId="4" fontId="1" numFmtId="0" xfId="0" applyAlignment="1" applyBorder="1" applyFont="1">
      <alignment vertical="bottom"/>
    </xf>
    <xf borderId="29" fillId="4" fontId="1" numFmtId="164" xfId="0" applyAlignment="1" applyBorder="1" applyFont="1" applyNumberFormat="1">
      <alignment horizontal="right" vertical="bottom"/>
    </xf>
    <xf borderId="30" fillId="4" fontId="1" numFmtId="165" xfId="0" applyAlignment="1" applyBorder="1" applyFont="1" applyNumberFormat="1">
      <alignment horizontal="right" vertical="bottom"/>
    </xf>
    <xf borderId="30" fillId="4" fontId="1" numFmtId="0" xfId="0" applyAlignment="1" applyBorder="1" applyFont="1">
      <alignment horizontal="center" vertical="bottom"/>
    </xf>
    <xf borderId="31" fillId="4" fontId="2" numFmtId="0" xfId="0" applyAlignment="1" applyBorder="1" applyFont="1">
      <alignment horizontal="center" vertical="bottom"/>
    </xf>
    <xf borderId="0" fillId="0" fontId="1" numFmtId="166" xfId="0" applyAlignment="1" applyFont="1" applyNumberFormat="1">
      <alignment horizontal="center" vertical="bottom"/>
    </xf>
    <xf borderId="36" fillId="4" fontId="1" numFmtId="167" xfId="0" applyAlignment="1" applyBorder="1" applyFont="1" applyNumberFormat="1">
      <alignment vertical="bottom"/>
    </xf>
    <xf borderId="41" fillId="0" fontId="1" numFmtId="167" xfId="0" applyAlignment="1" applyBorder="1" applyFont="1" applyNumberFormat="1">
      <alignment horizontal="right" vertical="bottom"/>
    </xf>
    <xf borderId="41" fillId="0" fontId="1" numFmtId="0" xfId="0" applyAlignment="1" applyBorder="1" applyFont="1">
      <alignment horizontal="right" vertical="bottom"/>
    </xf>
    <xf borderId="41" fillId="0" fontId="1" numFmtId="9" xfId="0" applyAlignment="1" applyBorder="1" applyFont="1" applyNumberFormat="1">
      <alignment horizontal="right" vertical="bottom"/>
    </xf>
    <xf borderId="41" fillId="0" fontId="1" numFmtId="0" xfId="0" applyAlignment="1" applyBorder="1" applyFont="1">
      <alignment horizontal="right" vertical="bottom"/>
    </xf>
    <xf borderId="41" fillId="0" fontId="1" numFmtId="10" xfId="0" applyAlignment="1" applyBorder="1" applyFont="1" applyNumberFormat="1">
      <alignment horizontal="right" vertical="bottom"/>
    </xf>
    <xf borderId="35" fillId="0" fontId="1" numFmtId="0" xfId="0" applyAlignment="1" applyBorder="1" applyFont="1">
      <alignment horizontal="right" vertical="bottom"/>
    </xf>
    <xf borderId="26" fillId="0" fontId="1" numFmtId="0" xfId="0" applyAlignment="1" applyBorder="1" applyFont="1">
      <alignment horizontal="right" vertical="bottom"/>
    </xf>
    <xf borderId="16" fillId="4" fontId="1" numFmtId="167" xfId="0" applyAlignment="1" applyBorder="1" applyFont="1" applyNumberFormat="1">
      <alignment vertical="bottom"/>
    </xf>
    <xf borderId="17" fillId="0" fontId="1" numFmtId="0" xfId="0" applyAlignment="1" applyBorder="1" applyFont="1">
      <alignment horizontal="right" vertical="bottom"/>
    </xf>
    <xf borderId="22" fillId="0" fontId="1" numFmtId="0" xfId="0" applyAlignment="1" applyBorder="1" applyFont="1">
      <alignment horizontal="right" vertical="bottom"/>
    </xf>
    <xf borderId="32" fillId="0" fontId="1" numFmtId="0" xfId="0" applyAlignment="1" applyBorder="1" applyFont="1">
      <alignment vertical="bottom"/>
    </xf>
    <xf borderId="33" fillId="4" fontId="1" numFmtId="0" xfId="0" applyAlignment="1" applyBorder="1" applyFont="1">
      <alignment vertical="bottom"/>
    </xf>
    <xf borderId="33" fillId="4" fontId="1" numFmtId="168" xfId="0" applyAlignment="1" applyBorder="1" applyFont="1" applyNumberFormat="1">
      <alignment vertical="bottom"/>
    </xf>
    <xf borderId="34" fillId="4" fontId="1" numFmtId="168" xfId="0" applyAlignment="1" applyBorder="1" applyFont="1" applyNumberFormat="1">
      <alignment vertical="bottom"/>
    </xf>
    <xf borderId="0" fillId="0" fontId="1" numFmtId="1" xfId="0" applyAlignment="1" applyFont="1" applyNumberFormat="1">
      <alignment vertical="bottom"/>
    </xf>
    <xf borderId="28" fillId="5" fontId="1" numFmtId="0" xfId="0" applyAlignment="1" applyBorder="1" applyFont="1">
      <alignment vertical="bottom"/>
    </xf>
    <xf borderId="29" fillId="5" fontId="1" numFmtId="0" xfId="0" applyAlignment="1" applyBorder="1" applyFont="1">
      <alignment vertical="bottom"/>
    </xf>
    <xf borderId="29" fillId="5" fontId="1" numFmtId="164" xfId="0" applyAlignment="1" applyBorder="1" applyFont="1" applyNumberFormat="1">
      <alignment horizontal="right" vertical="bottom"/>
    </xf>
    <xf borderId="30" fillId="5" fontId="1" numFmtId="165" xfId="0" applyAlignment="1" applyBorder="1" applyFont="1" applyNumberFormat="1">
      <alignment horizontal="right" vertical="bottom"/>
    </xf>
    <xf borderId="30" fillId="5" fontId="1" numFmtId="0" xfId="0" applyAlignment="1" applyBorder="1" applyFont="1">
      <alignment horizontal="center" vertical="bottom"/>
    </xf>
    <xf borderId="31" fillId="5" fontId="2" numFmtId="0" xfId="0" applyAlignment="1" applyBorder="1" applyFont="1">
      <alignment horizontal="center" vertical="bottom"/>
    </xf>
    <xf borderId="35" fillId="0" fontId="1" numFmtId="0" xfId="0" applyAlignment="1" applyBorder="1" applyFont="1">
      <alignment horizontal="right" vertical="bottom"/>
    </xf>
    <xf borderId="25" fillId="0" fontId="1" numFmtId="0" xfId="0" applyAlignment="1" applyBorder="1" applyFont="1">
      <alignment vertical="bottom"/>
    </xf>
    <xf borderId="28" fillId="7" fontId="1" numFmtId="0" xfId="0" applyAlignment="1" applyBorder="1" applyFill="1" applyFont="1">
      <alignment vertical="bottom"/>
    </xf>
    <xf borderId="29" fillId="7" fontId="1" numFmtId="0" xfId="0" applyAlignment="1" applyBorder="1" applyFont="1">
      <alignment vertical="bottom"/>
    </xf>
    <xf borderId="29" fillId="7" fontId="1" numFmtId="164" xfId="0" applyAlignment="1" applyBorder="1" applyFont="1" applyNumberFormat="1">
      <alignment horizontal="right" vertical="bottom"/>
    </xf>
    <xf borderId="30" fillId="7" fontId="1" numFmtId="165" xfId="0" applyAlignment="1" applyBorder="1" applyFont="1" applyNumberFormat="1">
      <alignment horizontal="right" vertical="bottom"/>
    </xf>
    <xf borderId="30" fillId="7" fontId="1" numFmtId="0" xfId="0" applyAlignment="1" applyBorder="1" applyFont="1">
      <alignment horizontal="center" vertical="bottom"/>
    </xf>
    <xf borderId="31" fillId="7" fontId="2" numFmtId="0" xfId="0" applyAlignment="1" applyBorder="1" applyFont="1">
      <alignment horizontal="center" vertical="bottom"/>
    </xf>
    <xf borderId="42" fillId="3" fontId="1" numFmtId="0" xfId="0" applyAlignment="1" applyBorder="1" applyFont="1">
      <alignment vertical="bottom"/>
    </xf>
    <xf borderId="26" fillId="0" fontId="1" numFmtId="0" xfId="0" applyAlignment="1" applyBorder="1" applyFont="1">
      <alignment vertical="bottom"/>
    </xf>
    <xf borderId="16" fillId="7" fontId="1" numFmtId="167" xfId="0" applyAlignment="1" applyBorder="1" applyFont="1" applyNumberFormat="1">
      <alignment vertical="bottom"/>
    </xf>
    <xf borderId="32" fillId="7" fontId="1" numFmtId="167" xfId="0" applyAlignment="1" applyBorder="1" applyFont="1" applyNumberFormat="1">
      <alignment vertical="bottom"/>
    </xf>
    <xf borderId="33" fillId="0" fontId="1" numFmtId="0" xfId="0" applyAlignment="1" applyBorder="1" applyFont="1">
      <alignment horizontal="right" vertical="bottom"/>
    </xf>
    <xf borderId="43" fillId="0" fontId="1" numFmtId="9" xfId="0" applyAlignment="1" applyBorder="1" applyFont="1" applyNumberFormat="1">
      <alignment horizontal="right" vertical="bottom"/>
    </xf>
    <xf borderId="43" fillId="0" fontId="1" numFmtId="0" xfId="0" applyAlignment="1" applyBorder="1" applyFont="1">
      <alignment horizontal="right" vertical="bottom"/>
    </xf>
    <xf borderId="33" fillId="0" fontId="1" numFmtId="10" xfId="0" applyAlignment="1" applyBorder="1" applyFont="1" applyNumberFormat="1">
      <alignment horizontal="right" vertical="bottom"/>
    </xf>
    <xf borderId="43" fillId="0" fontId="1" numFmtId="10" xfId="0" applyAlignment="1" applyBorder="1" applyFont="1" applyNumberFormat="1">
      <alignment horizontal="right" vertical="bottom"/>
    </xf>
    <xf borderId="44" fillId="0" fontId="1" numFmtId="0" xfId="0" applyAlignment="1" applyBorder="1" applyFont="1">
      <alignment horizontal="right" vertical="bottom"/>
    </xf>
    <xf borderId="45" fillId="8" fontId="1" numFmtId="0" xfId="0" applyAlignment="1" applyBorder="1" applyFill="1" applyFont="1">
      <alignment vertical="bottom"/>
    </xf>
    <xf borderId="46" fillId="8" fontId="1" numFmtId="0" xfId="0" applyAlignment="1" applyBorder="1" applyFont="1">
      <alignment vertical="bottom"/>
    </xf>
    <xf borderId="46" fillId="8" fontId="1" numFmtId="164" xfId="0" applyAlignment="1" applyBorder="1" applyFont="1" applyNumberFormat="1">
      <alignment horizontal="right" vertical="bottom"/>
    </xf>
    <xf borderId="47" fillId="8" fontId="1" numFmtId="165" xfId="0" applyAlignment="1" applyBorder="1" applyFont="1" applyNumberFormat="1">
      <alignment horizontal="right" vertical="bottom"/>
    </xf>
    <xf borderId="47" fillId="8" fontId="1" numFmtId="0" xfId="0" applyAlignment="1" applyBorder="1" applyFont="1">
      <alignment horizontal="center" vertical="bottom"/>
    </xf>
    <xf borderId="48" fillId="8" fontId="2" numFmtId="0" xfId="0" applyAlignment="1" applyBorder="1" applyFont="1">
      <alignment horizontal="center" vertical="bottom"/>
    </xf>
    <xf borderId="28" fillId="8" fontId="1" numFmtId="0" xfId="0" applyAlignment="1" applyBorder="1" applyFont="1">
      <alignment vertical="bottom"/>
    </xf>
    <xf borderId="29" fillId="8" fontId="1" numFmtId="0" xfId="0" applyAlignment="1" applyBorder="1" applyFont="1">
      <alignment vertical="bottom"/>
    </xf>
    <xf borderId="29" fillId="8" fontId="1" numFmtId="164" xfId="0" applyAlignment="1" applyBorder="1" applyFont="1" applyNumberFormat="1">
      <alignment horizontal="right" vertical="bottom"/>
    </xf>
    <xf borderId="30" fillId="8" fontId="1" numFmtId="165" xfId="0" applyAlignment="1" applyBorder="1" applyFont="1" applyNumberFormat="1">
      <alignment horizontal="right" vertical="bottom"/>
    </xf>
    <xf borderId="30" fillId="8" fontId="1" numFmtId="0" xfId="0" applyAlignment="1" applyBorder="1" applyFont="1">
      <alignment horizontal="center" vertical="bottom"/>
    </xf>
    <xf borderId="31" fillId="8" fontId="2" numFmtId="0" xfId="0" applyAlignment="1" applyBorder="1" applyFont="1">
      <alignment horizontal="center" vertical="bottom"/>
    </xf>
    <xf borderId="28" fillId="9" fontId="1" numFmtId="0" xfId="0" applyAlignment="1" applyBorder="1" applyFill="1" applyFont="1">
      <alignment vertical="bottom"/>
    </xf>
    <xf borderId="29" fillId="9" fontId="1" numFmtId="0" xfId="0" applyAlignment="1" applyBorder="1" applyFont="1">
      <alignment vertical="bottom"/>
    </xf>
    <xf borderId="29" fillId="9" fontId="1" numFmtId="164" xfId="0" applyAlignment="1" applyBorder="1" applyFont="1" applyNumberFormat="1">
      <alignment horizontal="right" vertical="bottom"/>
    </xf>
    <xf borderId="30" fillId="9" fontId="1" numFmtId="165" xfId="0" applyAlignment="1" applyBorder="1" applyFont="1" applyNumberFormat="1">
      <alignment horizontal="right" vertical="bottom"/>
    </xf>
    <xf borderId="30" fillId="9" fontId="1" numFmtId="0" xfId="0" applyAlignment="1" applyBorder="1" applyFont="1">
      <alignment horizontal="center" vertical="bottom"/>
    </xf>
    <xf borderId="31" fillId="9" fontId="2" numFmtId="0" xfId="0" applyAlignment="1" applyBorder="1" applyFont="1">
      <alignment horizontal="center" vertical="bottom"/>
    </xf>
    <xf borderId="31" fillId="9" fontId="4" numFmtId="0" xfId="0" applyAlignment="1" applyBorder="1" applyFont="1">
      <alignment horizontal="center" vertical="bottom"/>
    </xf>
    <xf borderId="49" fillId="0" fontId="1" numFmtId="0" xfId="0" applyAlignment="1" applyBorder="1" applyFont="1">
      <alignment vertical="bottom"/>
    </xf>
    <xf borderId="49" fillId="0" fontId="1" numFmtId="164" xfId="0" applyAlignment="1" applyBorder="1" applyFont="1" applyNumberFormat="1">
      <alignment horizontal="right" vertical="bottom"/>
    </xf>
    <xf borderId="49" fillId="0" fontId="1" numFmtId="165" xfId="0" applyAlignment="1" applyBorder="1" applyFont="1" applyNumberFormat="1">
      <alignment horizontal="right" vertical="bottom"/>
    </xf>
    <xf borderId="49" fillId="0" fontId="1" numFmtId="0" xfId="0" applyAlignment="1" applyBorder="1" applyFont="1">
      <alignment horizontal="center" vertical="bottom"/>
    </xf>
    <xf borderId="50" fillId="10" fontId="1" numFmtId="0" xfId="0" applyAlignment="1" applyBorder="1" applyFill="1" applyFont="1">
      <alignment horizontal="center" vertical="bottom"/>
    </xf>
    <xf borderId="49" fillId="0" fontId="1" numFmtId="0" xfId="0" applyAlignment="1" applyBorder="1" applyFont="1">
      <alignment vertical="bottom"/>
    </xf>
    <xf borderId="50" fillId="10" fontId="1" numFmtId="0" xfId="0" applyAlignment="1" applyBorder="1" applyFont="1">
      <alignment horizontal="center" vertical="bottom"/>
    </xf>
    <xf borderId="45" fillId="0" fontId="1" numFmtId="0" xfId="0" applyAlignment="1" applyBorder="1" applyFont="1">
      <alignment vertical="bottom"/>
    </xf>
    <xf borderId="47" fillId="0" fontId="1" numFmtId="0" xfId="0" applyAlignment="1" applyBorder="1" applyFont="1">
      <alignment horizontal="center" vertical="bottom"/>
    </xf>
    <xf borderId="48" fillId="10" fontId="1" numFmtId="0" xfId="0" applyAlignment="1" applyBorder="1" applyFont="1">
      <alignment horizontal="center" vertical="bottom"/>
    </xf>
    <xf borderId="28" fillId="0" fontId="1" numFmtId="0" xfId="0" applyAlignment="1" applyBorder="1" applyFont="1">
      <alignment vertical="bottom"/>
    </xf>
    <xf borderId="30" fillId="0" fontId="1" numFmtId="0" xfId="0" applyAlignment="1" applyBorder="1" applyFont="1">
      <alignment horizontal="center" vertical="bottom"/>
    </xf>
    <xf borderId="31" fillId="10" fontId="1" numFmtId="0" xfId="0" applyAlignment="1" applyBorder="1" applyFont="1">
      <alignment horizontal="center" vertical="bottom"/>
    </xf>
    <xf borderId="49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50" fillId="10" fontId="1" numFmtId="0" xfId="0" applyAlignment="1" applyBorder="1" applyFont="1">
      <alignment horizontal="right" vertical="bottom"/>
    </xf>
    <xf borderId="0" fillId="3" fontId="1" numFmtId="168" xfId="0" applyAlignment="1" applyFont="1" applyNumberFormat="1">
      <alignment vertical="bottom"/>
    </xf>
    <xf borderId="49" fillId="0" fontId="1" numFmtId="164" xfId="0" applyAlignment="1" applyBorder="1" applyFont="1" applyNumberFormat="1">
      <alignment vertical="bottom"/>
    </xf>
    <xf borderId="49" fillId="0" fontId="1" numFmtId="165" xfId="0" applyAlignment="1" applyBorder="1" applyFont="1" applyNumberFormat="1">
      <alignment vertical="bottom"/>
    </xf>
    <xf borderId="50" fillId="10" fontId="1" numFmtId="0" xfId="0" applyAlignment="1" applyBorder="1" applyFont="1">
      <alignment horizontal="right" vertical="bottom"/>
    </xf>
    <xf borderId="0" fillId="0" fontId="1" numFmtId="168" xfId="0" applyAlignment="1" applyFont="1" applyNumberFormat="1">
      <alignment vertical="bottom"/>
    </xf>
    <xf borderId="0" fillId="0" fontId="1" numFmtId="169" xfId="0" applyAlignment="1" applyFont="1" applyNumberFormat="1">
      <alignment vertical="bottom"/>
    </xf>
    <xf borderId="51" fillId="0" fontId="1" numFmtId="0" xfId="0" applyAlignment="1" applyBorder="1" applyFont="1">
      <alignment vertical="bottom"/>
    </xf>
    <xf borderId="51" fillId="0" fontId="1" numFmtId="0" xfId="0" applyAlignment="1" applyBorder="1" applyFont="1">
      <alignment vertical="bottom"/>
    </xf>
    <xf borderId="51" fillId="0" fontId="1" numFmtId="165" xfId="0" applyAlignment="1" applyBorder="1" applyFont="1" applyNumberFormat="1">
      <alignment vertical="bottom"/>
    </xf>
    <xf borderId="51" fillId="0" fontId="1" numFmtId="165" xfId="0" applyAlignment="1" applyBorder="1" applyFont="1" applyNumberFormat="1">
      <alignment horizontal="center" vertical="bottom"/>
    </xf>
    <xf borderId="52" fillId="10" fontId="1" numFmtId="0" xfId="0" applyAlignment="1" applyBorder="1" applyFont="1">
      <alignment horizontal="right" vertical="bottom"/>
    </xf>
    <xf borderId="20" fillId="0" fontId="1" numFmtId="0" xfId="0" applyAlignment="1" applyBorder="1" applyFont="1">
      <alignment vertical="bottom"/>
    </xf>
    <xf borderId="21" fillId="0" fontId="4" numFmtId="0" xfId="0" applyAlignment="1" applyBorder="1" applyFont="1">
      <alignment vertical="bottom"/>
    </xf>
    <xf borderId="21" fillId="0" fontId="1" numFmtId="0" xfId="0" applyAlignment="1" applyBorder="1" applyFont="1">
      <alignment vertical="bottom"/>
    </xf>
    <xf borderId="21" fillId="0" fontId="1" numFmtId="165" xfId="0" applyAlignment="1" applyBorder="1" applyFont="1" applyNumberFormat="1">
      <alignment vertical="bottom"/>
    </xf>
    <xf borderId="22" fillId="10" fontId="1" numFmtId="0" xfId="0" applyAlignment="1" applyBorder="1" applyFont="1">
      <alignment vertical="bottom"/>
    </xf>
    <xf borderId="53" fillId="0" fontId="1" numFmtId="0" xfId="0" applyAlignment="1" applyBorder="1" applyFont="1">
      <alignment vertical="bottom"/>
    </xf>
    <xf borderId="53" fillId="0" fontId="1" numFmtId="0" xfId="0" applyAlignment="1" applyBorder="1" applyFont="1">
      <alignment vertical="bottom"/>
    </xf>
    <xf borderId="53" fillId="0" fontId="1" numFmtId="165" xfId="0" applyAlignment="1" applyBorder="1" applyFont="1" applyNumberFormat="1">
      <alignment vertical="bottom"/>
    </xf>
    <xf borderId="53" fillId="0" fontId="1" numFmtId="165" xfId="0" applyAlignment="1" applyBorder="1" applyFont="1" applyNumberFormat="1">
      <alignment horizontal="center" vertical="bottom"/>
    </xf>
    <xf borderId="54" fillId="10" fontId="1" numFmtId="0" xfId="0" applyAlignment="1" applyBorder="1" applyFont="1">
      <alignment horizontal="right" vertical="bottom"/>
    </xf>
    <xf borderId="49" fillId="0" fontId="1" numFmtId="165" xfId="0" applyAlignment="1" applyBorder="1" applyFont="1" applyNumberFormat="1">
      <alignment horizontal="center" vertical="bottom"/>
    </xf>
    <xf borderId="46" fillId="4" fontId="1" numFmtId="0" xfId="0" applyAlignment="1" applyBorder="1" applyFont="1">
      <alignment vertical="bottom"/>
    </xf>
    <xf borderId="55" fillId="4" fontId="1" numFmtId="0" xfId="0" applyAlignment="1" applyBorder="1" applyFont="1">
      <alignment vertical="bottom"/>
    </xf>
    <xf borderId="47" fillId="4" fontId="1" numFmtId="165" xfId="0" applyAlignment="1" applyBorder="1" applyFont="1" applyNumberFormat="1">
      <alignment horizontal="right" vertical="bottom"/>
    </xf>
    <xf borderId="47" fillId="4" fontId="1" numFmtId="165" xfId="0" applyAlignment="1" applyBorder="1" applyFont="1" applyNumberFormat="1">
      <alignment horizontal="center" vertical="bottom"/>
    </xf>
    <xf borderId="47" fillId="4" fontId="1" numFmtId="0" xfId="0" applyAlignment="1" applyBorder="1" applyFont="1">
      <alignment horizontal="right" vertical="bottom"/>
    </xf>
    <xf borderId="29" fillId="4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30" fillId="4" fontId="1" numFmtId="165" xfId="0" applyAlignment="1" applyBorder="1" applyFont="1" applyNumberFormat="1">
      <alignment horizontal="center" vertical="bottom"/>
    </xf>
    <xf borderId="30" fillId="4" fontId="1" numFmtId="0" xfId="0" applyAlignment="1" applyBorder="1" applyFont="1">
      <alignment horizontal="right" vertical="bottom"/>
    </xf>
    <xf borderId="29" fillId="5" fontId="1" numFmtId="0" xfId="0" applyAlignment="1" applyBorder="1" applyFont="1">
      <alignment vertical="bottom"/>
    </xf>
    <xf borderId="30" fillId="5" fontId="1" numFmtId="165" xfId="0" applyAlignment="1" applyBorder="1" applyFont="1" applyNumberFormat="1">
      <alignment horizontal="center" vertical="bottom"/>
    </xf>
    <xf borderId="30" fillId="5" fontId="1" numFmtId="0" xfId="0" applyAlignment="1" applyBorder="1" applyFont="1">
      <alignment horizontal="right" vertical="bottom"/>
    </xf>
    <xf borderId="29" fillId="5" fontId="1" numFmtId="164" xfId="0" applyAlignment="1" applyBorder="1" applyFont="1" applyNumberFormat="1">
      <alignment vertical="bottom"/>
    </xf>
    <xf borderId="30" fillId="5" fontId="1" numFmtId="0" xfId="0" applyAlignment="1" applyBorder="1" applyFont="1">
      <alignment horizontal="right" vertical="bottom"/>
    </xf>
    <xf borderId="29" fillId="11" fontId="1" numFmtId="0" xfId="0" applyAlignment="1" applyBorder="1" applyFill="1" applyFont="1">
      <alignment vertical="bottom"/>
    </xf>
    <xf borderId="29" fillId="11" fontId="1" numFmtId="164" xfId="0" applyAlignment="1" applyBorder="1" applyFont="1" applyNumberFormat="1">
      <alignment vertical="bottom"/>
    </xf>
    <xf borderId="30" fillId="11" fontId="1" numFmtId="165" xfId="0" applyAlignment="1" applyBorder="1" applyFont="1" applyNumberFormat="1">
      <alignment horizontal="right" vertical="bottom"/>
    </xf>
    <xf borderId="30" fillId="11" fontId="1" numFmtId="165" xfId="0" applyAlignment="1" applyBorder="1" applyFont="1" applyNumberFormat="1">
      <alignment horizontal="center" vertical="bottom"/>
    </xf>
    <xf borderId="30" fillId="11" fontId="1" numFmtId="0" xfId="0" applyAlignment="1" applyBorder="1" applyFont="1">
      <alignment horizontal="right" vertical="bottom"/>
    </xf>
    <xf borderId="29" fillId="11" fontId="1" numFmtId="0" xfId="0" applyAlignment="1" applyBorder="1" applyFont="1">
      <alignment vertical="bottom"/>
    </xf>
    <xf borderId="30" fillId="11" fontId="1" numFmtId="0" xfId="0" applyAlignment="1" applyBorder="1" applyFont="1">
      <alignment horizontal="right" vertical="bottom"/>
    </xf>
    <xf borderId="56" fillId="11" fontId="1" numFmtId="0" xfId="0" applyAlignment="1" applyBorder="1" applyFont="1">
      <alignment horizontal="right" vertical="bottom"/>
    </xf>
    <xf borderId="57" fillId="0" fontId="4" numFmtId="0" xfId="0" applyAlignment="1" applyBorder="1" applyFont="1">
      <alignment horizontal="center" vertical="bottom"/>
    </xf>
    <xf borderId="58" fillId="0" fontId="3" numFmtId="0" xfId="0" applyBorder="1" applyFont="1"/>
    <xf borderId="59" fillId="0" fontId="3" numFmtId="0" xfId="0" applyBorder="1" applyFont="1"/>
    <xf borderId="57" fillId="0" fontId="4" numFmtId="0" xfId="0" applyAlignment="1" applyBorder="1" applyFont="1">
      <alignment vertical="bottom"/>
    </xf>
    <xf borderId="58" fillId="0" fontId="4" numFmtId="0" xfId="0" applyAlignment="1" applyBorder="1" applyFont="1">
      <alignment vertical="bottom"/>
    </xf>
    <xf borderId="59" fillId="0" fontId="4" numFmtId="0" xfId="0" applyAlignment="1" applyBorder="1" applyFont="1">
      <alignment vertical="bottom"/>
    </xf>
    <xf borderId="51" fillId="0" fontId="1" numFmtId="164" xfId="0" applyAlignment="1" applyBorder="1" applyFont="1" applyNumberFormat="1">
      <alignment vertical="bottom"/>
    </xf>
    <xf borderId="51" fillId="0" fontId="1" numFmtId="0" xfId="0" applyAlignment="1" applyBorder="1" applyFont="1">
      <alignment horizontal="center" vertical="bottom"/>
    </xf>
    <xf borderId="20" fillId="0" fontId="1" numFmtId="0" xfId="0" applyAlignment="1" applyBorder="1" applyFont="1">
      <alignment vertical="bottom"/>
    </xf>
    <xf borderId="21" fillId="0" fontId="2" numFmtId="0" xfId="0" applyAlignment="1" applyBorder="1" applyFont="1">
      <alignment vertical="bottom"/>
    </xf>
    <xf borderId="21" fillId="0" fontId="1" numFmtId="164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53" fillId="0" fontId="1" numFmtId="164" xfId="0" applyAlignment="1" applyBorder="1" applyFont="1" applyNumberFormat="1">
      <alignment vertical="bottom"/>
    </xf>
    <xf borderId="53" fillId="0" fontId="1" numFmtId="0" xfId="0" applyAlignment="1" applyBorder="1" applyFont="1">
      <alignment horizontal="center" vertical="bottom"/>
    </xf>
    <xf borderId="35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17" fillId="0" fontId="5" numFmtId="0" xfId="0" applyAlignment="1" applyBorder="1" applyFont="1">
      <alignment vertical="bottom"/>
    </xf>
    <xf borderId="17" fillId="0" fontId="5" numFmtId="0" xfId="0" applyAlignment="1" applyBorder="1" applyFont="1">
      <alignment vertical="bottom"/>
    </xf>
    <xf borderId="22" fillId="0" fontId="1" numFmtId="0" xfId="0" applyAlignment="1" applyBorder="1" applyFont="1">
      <alignment vertical="bottom"/>
    </xf>
    <xf borderId="41" fillId="0" fontId="1" numFmtId="0" xfId="0" applyAlignment="1" applyBorder="1" applyFont="1">
      <alignment horizontal="right" readingOrder="0" vertical="bottom"/>
    </xf>
    <xf borderId="60" fillId="0" fontId="5" numFmtId="0" xfId="0" applyAlignment="1" applyBorder="1" applyFont="1">
      <alignment vertical="bottom"/>
    </xf>
    <xf borderId="54" fillId="3" fontId="1" numFmtId="0" xfId="0" applyAlignment="1" applyBorder="1" applyFont="1">
      <alignment horizontal="right" vertical="bottom"/>
    </xf>
    <xf borderId="50" fillId="3" fontId="1" numFmtId="0" xfId="0" applyAlignment="1" applyBorder="1" applyFont="1">
      <alignment horizontal="right" vertical="bottom"/>
    </xf>
    <xf borderId="0" fillId="0" fontId="6" numFmtId="0" xfId="0" applyAlignment="1" applyFont="1">
      <alignment horizontal="center"/>
    </xf>
    <xf borderId="0" fillId="3" fontId="7" numFmtId="0" xfId="0" applyAlignment="1" applyFont="1">
      <alignment horizontal="left" readingOrder="0" shrinkToFit="0" vertical="center" wrapText="0"/>
    </xf>
    <xf borderId="0" fillId="3" fontId="8" numFmtId="0" xfId="0" applyAlignment="1" applyFont="1">
      <alignment horizontal="center" readingOrder="0"/>
    </xf>
    <xf borderId="0" fillId="3" fontId="6" numFmtId="0" xfId="0" applyFont="1"/>
    <xf borderId="0" fillId="3" fontId="9" numFmtId="0" xfId="0" applyAlignment="1" applyFont="1">
      <alignment horizontal="center" readingOrder="0" shrinkToFit="0" vertical="center" wrapText="0"/>
    </xf>
    <xf borderId="37" fillId="12" fontId="8" numFmtId="0" xfId="0" applyAlignment="1" applyBorder="1" applyFill="1" applyFont="1">
      <alignment horizontal="center" readingOrder="0"/>
    </xf>
    <xf borderId="41" fillId="3" fontId="10" numFmtId="0" xfId="0" applyBorder="1" applyFont="1"/>
    <xf borderId="41" fillId="13" fontId="5" numFmtId="0" xfId="0" applyBorder="1" applyFill="1" applyFont="1"/>
    <xf borderId="0" fillId="3" fontId="11" numFmtId="0" xfId="0" applyAlignment="1" applyFont="1">
      <alignment horizontal="left" readingOrder="0" shrinkToFit="0" vertical="center" wrapText="0"/>
    </xf>
    <xf borderId="24" fillId="3" fontId="10" numFmtId="0" xfId="0" applyAlignment="1" applyBorder="1" applyFont="1">
      <alignment readingOrder="0"/>
    </xf>
    <xf borderId="26" fillId="0" fontId="3" numFmtId="0" xfId="0" applyBorder="1" applyFont="1"/>
    <xf borderId="41" fillId="13" fontId="5" numFmtId="0" xfId="0" applyAlignment="1" applyBorder="1" applyFont="1">
      <alignment readingOrder="0"/>
    </xf>
    <xf borderId="17" fillId="3" fontId="10" numFmtId="0" xfId="0" applyBorder="1" applyFont="1"/>
    <xf borderId="17" fillId="13" fontId="2" numFmtId="0" xfId="0" applyAlignment="1" applyBorder="1" applyFont="1">
      <alignment readingOrder="0"/>
    </xf>
    <xf borderId="0" fillId="3" fontId="12" numFmtId="0" xfId="0" applyAlignment="1" applyFont="1">
      <alignment horizontal="left" readingOrder="0" shrinkToFit="0" vertical="center" wrapText="0"/>
    </xf>
    <xf borderId="17" fillId="3" fontId="10" numFmtId="0" xfId="0" applyAlignment="1" applyBorder="1" applyFont="1">
      <alignment horizontal="left" readingOrder="0" shrinkToFit="0" vertical="center" wrapText="0"/>
    </xf>
    <xf borderId="24" fillId="3" fontId="10" numFmtId="0" xfId="0" applyBorder="1" applyFont="1"/>
    <xf borderId="17" fillId="13" fontId="13" numFmtId="0" xfId="0" applyAlignment="1" applyBorder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/>
    </xf>
    <xf borderId="17" fillId="11" fontId="14" numFmtId="2" xfId="0" applyAlignment="1" applyBorder="1" applyFont="1" applyNumberFormat="1">
      <alignment horizontal="left" readingOrder="0"/>
    </xf>
    <xf borderId="0" fillId="3" fontId="14" numFmtId="0" xfId="0" applyAlignment="1" applyFont="1">
      <alignment horizontal="center" readingOrder="0" shrinkToFit="0" vertical="center" wrapText="0"/>
    </xf>
    <xf borderId="0" fillId="3" fontId="11" numFmtId="0" xfId="0" applyFont="1"/>
    <xf borderId="20" fillId="3" fontId="10" numFmtId="0" xfId="0" applyAlignment="1" applyBorder="1" applyFont="1">
      <alignment readingOrder="0"/>
    </xf>
    <xf borderId="0" fillId="3" fontId="11" numFmtId="0" xfId="0" applyAlignment="1" applyFont="1">
      <alignment horizontal="left" readingOrder="0"/>
    </xf>
    <xf borderId="21" fillId="0" fontId="3" numFmtId="0" xfId="0" applyBorder="1" applyFont="1"/>
    <xf borderId="22" fillId="0" fontId="3" numFmtId="0" xfId="0" applyBorder="1" applyFont="1"/>
    <xf borderId="17" fillId="13" fontId="2" numFmtId="0" xfId="0" applyBorder="1" applyFont="1"/>
    <xf borderId="0" fillId="3" fontId="15" numFmtId="0" xfId="0" applyAlignment="1" applyFont="1">
      <alignment horizontal="center" readingOrder="0" shrinkToFit="0" vertical="center" wrapText="0"/>
    </xf>
    <xf borderId="0" fillId="0" fontId="11" numFmtId="0" xfId="0" applyFont="1"/>
    <xf borderId="20" fillId="3" fontId="10" numFmtId="0" xfId="0" applyBorder="1" applyFont="1"/>
    <xf borderId="17" fillId="4" fontId="5" numFmtId="0" xfId="0" applyBorder="1" applyFont="1"/>
    <xf borderId="17" fillId="4" fontId="5" numFmtId="1" xfId="0" applyBorder="1" applyFont="1" applyNumberFormat="1"/>
    <xf borderId="17" fillId="14" fontId="10" numFmtId="0" xfId="0" applyBorder="1" applyFill="1" applyFont="1"/>
    <xf borderId="0" fillId="0" fontId="1" numFmtId="0" xfId="0" applyAlignment="1" applyFont="1">
      <alignment readingOrder="0" vertical="bottom"/>
    </xf>
    <xf borderId="0" fillId="3" fontId="14" numFmtId="0" xfId="0" applyAlignment="1" applyFont="1">
      <alignment readingOrder="0"/>
    </xf>
    <xf borderId="37" fillId="15" fontId="4" numFmtId="0" xfId="0" applyAlignment="1" applyBorder="1" applyFill="1" applyFont="1">
      <alignment horizontal="center" vertical="bottom"/>
    </xf>
    <xf borderId="0" fillId="3" fontId="1" numFmtId="0" xfId="0" applyFont="1"/>
    <xf borderId="40" fillId="16" fontId="1" numFmtId="0" xfId="0" applyAlignment="1" applyBorder="1" applyFill="1" applyFont="1">
      <alignment horizontal="center" vertical="bottom"/>
    </xf>
    <xf borderId="37" fillId="16" fontId="1" numFmtId="0" xfId="0" applyAlignment="1" applyBorder="1" applyFont="1">
      <alignment horizontal="center" vertical="bottom"/>
    </xf>
    <xf borderId="0" fillId="3" fontId="16" numFmtId="0" xfId="0" applyAlignment="1" applyFont="1">
      <alignment horizontal="left"/>
    </xf>
    <xf borderId="36" fillId="16" fontId="1" numFmtId="1" xfId="0" applyAlignment="1" applyBorder="1" applyFont="1" applyNumberFormat="1">
      <alignment horizontal="center" vertical="bottom"/>
    </xf>
    <xf borderId="35" fillId="16" fontId="1" numFmtId="2" xfId="0" applyAlignment="1" applyBorder="1" applyFont="1" applyNumberFormat="1">
      <alignment horizontal="center" vertical="bottom"/>
    </xf>
    <xf borderId="61" fillId="16" fontId="1" numFmtId="1" xfId="0" applyAlignment="1" applyBorder="1" applyFont="1" applyNumberFormat="1">
      <alignment horizontal="center" vertical="bottom"/>
    </xf>
    <xf borderId="0" fillId="3" fontId="16" numFmtId="0" xfId="0" applyAlignment="1" applyFont="1">
      <alignment horizontal="left" readingOrder="0"/>
    </xf>
    <xf borderId="37" fillId="17" fontId="14" numFmtId="0" xfId="0" applyAlignment="1" applyBorder="1" applyFill="1" applyFont="1">
      <alignment horizontal="center" readingOrder="0" shrinkToFit="0" vertical="center" wrapText="0"/>
    </xf>
    <xf borderId="0" fillId="3" fontId="6" numFmtId="1" xfId="0" applyFont="1" applyNumberFormat="1"/>
    <xf borderId="0" fillId="18" fontId="14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0" fillId="19" fontId="14" numFmtId="0" xfId="0" applyAlignment="1" applyFill="1" applyFont="1">
      <alignment readingOrder="0"/>
    </xf>
    <xf borderId="0" fillId="0" fontId="6" numFmtId="1" xfId="0" applyFont="1" applyNumberFormat="1"/>
    <xf borderId="0" fillId="3" fontId="17" numFmtId="0" xfId="0" applyAlignment="1" applyFont="1">
      <alignment horizontal="left" readingOrder="0" vertical="bottom"/>
    </xf>
    <xf borderId="0" fillId="4" fontId="18" numFmtId="0" xfId="0" applyAlignment="1" applyFont="1">
      <alignment readingOrder="0" vertical="bottom"/>
    </xf>
    <xf borderId="0" fillId="4" fontId="18" numFmtId="170" xfId="0" applyAlignment="1" applyFont="1" applyNumberFormat="1">
      <alignment horizontal="right" readingOrder="0" vertical="bottom"/>
    </xf>
    <xf borderId="0" fillId="3" fontId="17" numFmtId="170" xfId="0" applyAlignment="1" applyFont="1" applyNumberFormat="1">
      <alignment horizontal="right" readingOrder="0" vertical="bottom"/>
    </xf>
    <xf borderId="0" fillId="4" fontId="17" numFmtId="0" xfId="0" applyAlignment="1" applyFont="1">
      <alignment readingOrder="0" vertical="bottom"/>
    </xf>
    <xf borderId="0" fillId="20" fontId="17" numFmtId="0" xfId="0" applyAlignment="1" applyFill="1" applyFont="1">
      <alignment readingOrder="0" vertical="bottom"/>
    </xf>
    <xf borderId="37" fillId="21" fontId="14" numFmtId="0" xfId="0" applyAlignment="1" applyBorder="1" applyFill="1" applyFont="1">
      <alignment horizontal="center" readingOrder="0" shrinkToFit="0" vertical="center" wrapText="0"/>
    </xf>
    <xf borderId="0" fillId="3" fontId="1" numFmtId="0" xfId="0" applyAlignment="1" applyFont="1">
      <alignment horizontal="left" vertical="bottom"/>
    </xf>
    <xf borderId="0" fillId="20" fontId="1" numFmtId="2" xfId="0" applyAlignment="1" applyFont="1" applyNumberFormat="1">
      <alignment readingOrder="0" vertical="bottom"/>
    </xf>
    <xf borderId="0" fillId="20" fontId="1" numFmtId="2" xfId="0" applyAlignment="1" applyFont="1" applyNumberFormat="1">
      <alignment vertical="bottom"/>
    </xf>
    <xf borderId="62" fillId="3" fontId="2" numFmtId="171" xfId="0" applyAlignment="1" applyBorder="1" applyFont="1" applyNumberFormat="1">
      <alignment horizontal="right" readingOrder="0" vertical="bottom"/>
    </xf>
    <xf borderId="63" fillId="3" fontId="2" numFmtId="0" xfId="0" applyAlignment="1" applyBorder="1" applyFont="1">
      <alignment readingOrder="0" vertical="bottom"/>
    </xf>
    <xf borderId="63" fillId="0" fontId="19" numFmtId="0" xfId="0" applyAlignment="1" applyBorder="1" applyFont="1">
      <alignment readingOrder="0"/>
    </xf>
    <xf borderId="64" fillId="0" fontId="19" numFmtId="1" xfId="0" applyAlignment="1" applyBorder="1" applyFont="1" applyNumberFormat="1">
      <alignment readingOrder="0"/>
    </xf>
    <xf borderId="62" fillId="16" fontId="6" numFmtId="0" xfId="0" applyAlignment="1" applyBorder="1" applyFont="1">
      <alignment horizontal="center" readingOrder="0"/>
    </xf>
    <xf borderId="64" fillId="16" fontId="6" numFmtId="0" xfId="0" applyAlignment="1" applyBorder="1" applyFont="1">
      <alignment horizontal="center" readingOrder="0"/>
    </xf>
    <xf borderId="0" fillId="3" fontId="4" numFmtId="0" xfId="0" applyAlignment="1" applyFont="1">
      <alignment horizontal="right" readingOrder="0" vertical="bottom"/>
    </xf>
    <xf borderId="0" fillId="3" fontId="4" numFmtId="1" xfId="0" applyAlignment="1" applyFont="1" applyNumberFormat="1">
      <alignment horizontal="right" readingOrder="0" vertical="bottom"/>
    </xf>
    <xf borderId="0" fillId="3" fontId="2" numFmtId="1" xfId="0" applyAlignment="1" applyFont="1" applyNumberFormat="1">
      <alignment horizontal="right" readingOrder="0" vertical="bottom"/>
    </xf>
    <xf borderId="0" fillId="3" fontId="20" numFmtId="172" xfId="0" applyAlignment="1" applyFont="1" applyNumberFormat="1">
      <alignment horizontal="right" readingOrder="0" vertical="bottom"/>
    </xf>
    <xf borderId="0" fillId="3" fontId="2" numFmtId="172" xfId="0" applyAlignment="1" applyFont="1" applyNumberFormat="1">
      <alignment horizontal="right" vertical="bottom"/>
    </xf>
    <xf borderId="17" fillId="3" fontId="5" numFmtId="0" xfId="0" applyAlignment="1" applyBorder="1" applyFont="1">
      <alignment readingOrder="0" vertical="bottom"/>
    </xf>
    <xf borderId="17" fillId="3" fontId="5" numFmtId="0" xfId="0" applyAlignment="1" applyBorder="1" applyFont="1">
      <alignment vertical="bottom"/>
    </xf>
    <xf borderId="17" fillId="0" fontId="13" numFmtId="0" xfId="0" applyAlignment="1" applyBorder="1" applyFont="1">
      <alignment readingOrder="0"/>
    </xf>
    <xf borderId="17" fillId="3" fontId="5" numFmtId="2" xfId="0" applyAlignment="1" applyBorder="1" applyFont="1" applyNumberFormat="1">
      <alignment vertical="bottom"/>
    </xf>
    <xf borderId="17" fillId="0" fontId="13" numFmtId="0" xfId="0" applyBorder="1" applyFont="1"/>
    <xf borderId="65" fillId="0" fontId="13" numFmtId="1" xfId="0" applyBorder="1" applyFont="1" applyNumberFormat="1"/>
    <xf borderId="36" fillId="16" fontId="6" numFmtId="1" xfId="0" applyAlignment="1" applyBorder="1" applyFont="1" applyNumberFormat="1">
      <alignment horizontal="center"/>
    </xf>
    <xf borderId="18" fillId="16" fontId="6" numFmtId="2" xfId="0" applyAlignment="1" applyBorder="1" applyFont="1" applyNumberFormat="1">
      <alignment horizontal="center"/>
    </xf>
    <xf borderId="0" fillId="3" fontId="18" numFmtId="0" xfId="0" applyAlignment="1" applyFont="1">
      <alignment readingOrder="0" vertical="bottom"/>
    </xf>
    <xf borderId="0" fillId="3" fontId="5" numFmtId="1" xfId="0" applyAlignment="1" applyFont="1" applyNumberFormat="1">
      <alignment horizontal="right" vertical="bottom"/>
    </xf>
    <xf borderId="0" fillId="3" fontId="1" numFmtId="172" xfId="0" applyAlignment="1" applyFont="1" applyNumberFormat="1">
      <alignment vertical="bottom"/>
    </xf>
    <xf borderId="0" fillId="3" fontId="21" numFmtId="0" xfId="0" applyAlignment="1" applyFont="1">
      <alignment horizontal="left" readingOrder="0"/>
    </xf>
    <xf borderId="17" fillId="0" fontId="13" numFmtId="3" xfId="0" applyBorder="1" applyFont="1" applyNumberFormat="1"/>
    <xf borderId="16" fillId="16" fontId="6" numFmtId="1" xfId="0" applyAlignment="1" applyBorder="1" applyFont="1" applyNumberFormat="1">
      <alignment horizontal="center"/>
    </xf>
    <xf borderId="0" fillId="3" fontId="1" numFmtId="0" xfId="0" applyAlignment="1" applyFont="1">
      <alignment readingOrder="0" vertical="bottom"/>
    </xf>
    <xf borderId="0" fillId="3" fontId="1" numFmtId="2" xfId="0" applyAlignment="1" applyFont="1" applyNumberFormat="1">
      <alignment vertical="bottom"/>
    </xf>
    <xf borderId="0" fillId="3" fontId="5" numFmtId="2" xfId="0" applyAlignment="1" applyFont="1" applyNumberFormat="1">
      <alignment horizontal="right" vertical="bottom"/>
    </xf>
    <xf borderId="0" fillId="3" fontId="5" numFmtId="2" xfId="0" applyAlignment="1" applyFont="1" applyNumberFormat="1">
      <alignment horizontal="right" readingOrder="0" vertical="bottom"/>
    </xf>
    <xf borderId="0" fillId="3" fontId="5" numFmtId="173" xfId="0" applyAlignment="1" applyFont="1" applyNumberFormat="1">
      <alignment horizontal="right" vertical="bottom"/>
    </xf>
    <xf borderId="0" fillId="3" fontId="1" numFmtId="172" xfId="0" applyAlignment="1" applyFont="1" applyNumberFormat="1">
      <alignment horizontal="right" readingOrder="0" vertical="bottom"/>
    </xf>
    <xf borderId="0" fillId="3" fontId="4" numFmtId="172" xfId="0" applyAlignment="1" applyFont="1" applyNumberFormat="1">
      <alignment readingOrder="0" vertical="bottom"/>
    </xf>
    <xf borderId="17" fillId="3" fontId="5" numFmtId="0" xfId="0" applyAlignment="1" applyBorder="1" applyFont="1">
      <alignment vertical="bottom"/>
    </xf>
    <xf borderId="0" fillId="3" fontId="1" numFmtId="2" xfId="0" applyAlignment="1" applyFont="1" applyNumberFormat="1">
      <alignment readingOrder="0" vertical="bottom"/>
    </xf>
    <xf borderId="0" fillId="3" fontId="1" numFmtId="174" xfId="0" applyAlignment="1" applyFont="1" applyNumberFormat="1">
      <alignment horizontal="right" readingOrder="0" vertical="bottom"/>
    </xf>
    <xf borderId="17" fillId="3" fontId="5" numFmtId="1" xfId="0" applyAlignment="1" applyBorder="1" applyFont="1" applyNumberFormat="1">
      <alignment vertical="bottom"/>
    </xf>
    <xf borderId="0" fillId="21" fontId="9" numFmtId="0" xfId="0" applyAlignment="1" applyFont="1">
      <alignment horizontal="center" readingOrder="0" shrinkToFit="0" vertical="center" wrapText="0"/>
    </xf>
    <xf borderId="17" fillId="3" fontId="2" numFmtId="2" xfId="0" applyAlignment="1" applyBorder="1" applyFont="1" applyNumberFormat="1">
      <alignment vertical="bottom"/>
    </xf>
    <xf borderId="0" fillId="3" fontId="4" numFmtId="0" xfId="0" applyAlignment="1" applyFont="1">
      <alignment vertical="bottom"/>
    </xf>
    <xf borderId="0" fillId="3" fontId="22" numFmtId="0" xfId="0" applyFont="1"/>
    <xf borderId="0" fillId="3" fontId="4" numFmtId="2" xfId="0" applyAlignment="1" applyFont="1" applyNumberFormat="1">
      <alignment vertical="bottom"/>
    </xf>
    <xf borderId="0" fillId="3" fontId="1" numFmtId="1" xfId="0" applyAlignment="1" applyFont="1" applyNumberFormat="1">
      <alignment horizontal="right" vertical="bottom"/>
    </xf>
    <xf borderId="0" fillId="3" fontId="1" numFmtId="172" xfId="0" applyAlignment="1" applyFont="1" applyNumberFormat="1">
      <alignment horizontal="right" vertical="bottom"/>
    </xf>
    <xf borderId="17" fillId="3" fontId="2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17" fillId="3" fontId="2" numFmtId="0" xfId="0" applyAlignment="1" applyBorder="1" applyFont="1">
      <alignment readingOrder="0" vertical="bottom"/>
    </xf>
    <xf borderId="0" fillId="3" fontId="2" numFmtId="1" xfId="0" applyAlignment="1" applyFont="1" applyNumberFormat="1">
      <alignment horizontal="right" readingOrder="0" vertical="center"/>
    </xf>
    <xf borderId="0" fillId="3" fontId="18" numFmtId="173" xfId="0" applyAlignment="1" applyFont="1" applyNumberFormat="1">
      <alignment horizontal="right" vertical="bottom"/>
    </xf>
    <xf borderId="17" fillId="3" fontId="13" numFmtId="0" xfId="0" applyAlignment="1" applyBorder="1" applyFont="1">
      <alignment readingOrder="0"/>
    </xf>
    <xf borderId="17" fillId="0" fontId="19" numFmtId="0" xfId="0" applyBorder="1" applyFont="1"/>
    <xf borderId="0" fillId="22" fontId="18" numFmtId="1" xfId="0" applyAlignment="1" applyFill="1" applyFont="1" applyNumberFormat="1">
      <alignment horizontal="right" vertical="bottom"/>
    </xf>
    <xf borderId="0" fillId="3" fontId="18" numFmtId="0" xfId="0" applyAlignment="1" applyFont="1">
      <alignment readingOrder="0" shrinkToFit="0" vertical="bottom" wrapText="0"/>
    </xf>
    <xf borderId="60" fillId="3" fontId="5" numFmtId="0" xfId="0" applyAlignment="1" applyBorder="1" applyFont="1">
      <alignment horizontal="left" readingOrder="0" vertical="center"/>
    </xf>
    <xf borderId="66" fillId="0" fontId="3" numFmtId="0" xfId="0" applyBorder="1" applyFont="1"/>
    <xf borderId="67" fillId="0" fontId="3" numFmtId="0" xfId="0" applyBorder="1" applyFont="1"/>
    <xf borderId="0" fillId="3" fontId="2" numFmtId="0" xfId="0" applyAlignment="1" applyFont="1">
      <alignment readingOrder="0" vertical="bottom"/>
    </xf>
    <xf borderId="0" fillId="3" fontId="1" numFmtId="1" xfId="0" applyAlignment="1" applyFont="1" applyNumberFormat="1">
      <alignment vertical="bottom"/>
    </xf>
    <xf borderId="17" fillId="3" fontId="5" numFmtId="0" xfId="0" applyAlignment="1" applyBorder="1" applyFont="1">
      <alignment horizontal="center" readingOrder="0" vertical="bottom"/>
    </xf>
    <xf borderId="17" fillId="3" fontId="5" numFmtId="10" xfId="0" applyAlignment="1" applyBorder="1" applyFont="1" applyNumberFormat="1">
      <alignment readingOrder="0" vertical="bottom"/>
    </xf>
    <xf borderId="17" fillId="0" fontId="19" numFmtId="1" xfId="0" applyBorder="1" applyFont="1" applyNumberFormat="1"/>
    <xf borderId="17" fillId="0" fontId="13" numFmtId="168" xfId="0" applyBorder="1" applyFont="1" applyNumberFormat="1"/>
    <xf borderId="60" fillId="3" fontId="5" numFmtId="0" xfId="0" applyAlignment="1" applyBorder="1" applyFont="1">
      <alignment horizontal="left" readingOrder="0" vertical="bottom"/>
    </xf>
    <xf borderId="60" fillId="3" fontId="2" numFmtId="0" xfId="0" applyAlignment="1" applyBorder="1" applyFont="1">
      <alignment horizontal="right" readingOrder="0" vertical="bottom"/>
    </xf>
    <xf borderId="60" fillId="3" fontId="5" numFmtId="9" xfId="0" applyAlignment="1" applyBorder="1" applyFont="1" applyNumberFormat="1">
      <alignment horizontal="right" readingOrder="0" vertical="bottom"/>
    </xf>
    <xf borderId="68" fillId="0" fontId="13" numFmtId="1" xfId="0" applyBorder="1" applyFont="1" applyNumberFormat="1"/>
    <xf borderId="0" fillId="3" fontId="14" numFmtId="1" xfId="0" applyAlignment="1" applyFont="1" applyNumberFormat="1">
      <alignment readingOrder="0"/>
    </xf>
    <xf borderId="37" fillId="0" fontId="18" numFmtId="0" xfId="0" applyAlignment="1" applyBorder="1" applyFont="1">
      <alignment horizontal="right" vertical="bottom"/>
    </xf>
    <xf borderId="40" fillId="0" fontId="1" numFmtId="0" xfId="0" applyAlignment="1" applyBorder="1" applyFont="1">
      <alignment vertical="bottom"/>
    </xf>
    <xf borderId="40" fillId="4" fontId="18" numFmtId="1" xfId="0" applyAlignment="1" applyBorder="1" applyFont="1" applyNumberFormat="1">
      <alignment horizontal="right" vertical="bottom"/>
    </xf>
    <xf borderId="40" fillId="4" fontId="18" numFmtId="1" xfId="0" applyAlignment="1" applyBorder="1" applyFont="1" applyNumberFormat="1">
      <alignment vertical="bottom"/>
    </xf>
    <xf borderId="40" fillId="0" fontId="2" numFmtId="9" xfId="0" applyAlignment="1" applyBorder="1" applyFont="1" applyNumberFormat="1">
      <alignment horizontal="right" vertical="bottom"/>
    </xf>
    <xf borderId="40" fillId="4" fontId="23" numFmtId="1" xfId="0" applyAlignment="1" applyBorder="1" applyFont="1" applyNumberFormat="1">
      <alignment horizontal="right" vertical="bottom"/>
    </xf>
    <xf borderId="0" fillId="0" fontId="13" numFmtId="1" xfId="0" applyAlignment="1" applyFont="1" applyNumberFormat="1">
      <alignment readingOrder="0"/>
    </xf>
    <xf borderId="37" fillId="0" fontId="18" numFmtId="0" xfId="0" applyAlignment="1" applyBorder="1" applyFont="1">
      <alignment horizontal="right" vertical="bottom"/>
    </xf>
    <xf borderId="0" fillId="3" fontId="1" numFmtId="9" xfId="0" applyAlignment="1" applyFont="1" applyNumberFormat="1">
      <alignment vertical="bottom"/>
    </xf>
    <xf borderId="0" fillId="3" fontId="5" numFmtId="1" xfId="0" applyAlignment="1" applyFont="1" applyNumberFormat="1">
      <alignment horizontal="center" readingOrder="0" vertical="center"/>
    </xf>
    <xf borderId="0" fillId="3" fontId="18" numFmtId="1" xfId="0" applyAlignment="1" applyFont="1" applyNumberFormat="1">
      <alignment horizontal="right" vertical="bottom"/>
    </xf>
    <xf borderId="0" fillId="3" fontId="5" numFmtId="1" xfId="0" applyAlignment="1" applyFont="1" applyNumberFormat="1">
      <alignment horizontal="left" readingOrder="0" vertical="bottom"/>
    </xf>
    <xf borderId="0" fillId="22" fontId="2" numFmtId="1" xfId="0" applyAlignment="1" applyFont="1" applyNumberFormat="1">
      <alignment horizontal="left" readingOrder="0" vertical="bottom"/>
    </xf>
    <xf borderId="0" fillId="3" fontId="2" numFmtId="1" xfId="0" applyAlignment="1" applyFont="1" applyNumberFormat="1">
      <alignment readingOrder="0" vertical="bottom"/>
    </xf>
    <xf borderId="0" fillId="3" fontId="1" numFmtId="1" xfId="0" applyAlignment="1" applyFont="1" applyNumberFormat="1">
      <alignment readingOrder="0" vertical="bottom"/>
    </xf>
    <xf borderId="0" fillId="3" fontId="6" numFmtId="0" xfId="0" applyAlignment="1" applyFont="1">
      <alignment readingOrder="0"/>
    </xf>
    <xf borderId="0" fillId="3" fontId="4" numFmtId="1" xfId="0" applyAlignment="1" applyFont="1" applyNumberFormat="1">
      <alignment vertical="bottom"/>
    </xf>
    <xf borderId="37" fillId="0" fontId="2" numFmtId="0" xfId="0" applyAlignment="1" applyBorder="1" applyFont="1">
      <alignment vertical="bottom"/>
    </xf>
    <xf borderId="40" fillId="0" fontId="2" numFmtId="0" xfId="0" applyAlignment="1" applyBorder="1" applyFont="1">
      <alignment shrinkToFit="0" vertical="bottom" wrapText="1"/>
    </xf>
    <xf borderId="40" fillId="0" fontId="2" numFmtId="1" xfId="0" applyAlignment="1" applyBorder="1" applyFont="1" applyNumberFormat="1">
      <alignment shrinkToFit="0" vertical="bottom" wrapText="1"/>
    </xf>
    <xf borderId="37" fillId="0" fontId="4" numFmtId="0" xfId="0" applyAlignment="1" applyBorder="1" applyFont="1">
      <alignment vertical="bottom"/>
    </xf>
    <xf borderId="40" fillId="0" fontId="1" numFmtId="1" xfId="0" applyAlignment="1" applyBorder="1" applyFont="1" applyNumberFormat="1">
      <alignment horizontal="center" vertical="bottom"/>
    </xf>
    <xf borderId="40" fillId="0" fontId="1" numFmtId="173" xfId="0" applyAlignment="1" applyBorder="1" applyFont="1" applyNumberFormat="1">
      <alignment horizontal="center" vertical="bottom"/>
    </xf>
    <xf borderId="37" fillId="0" fontId="4" numFmtId="0" xfId="0" applyAlignment="1" applyBorder="1" applyFont="1">
      <alignment readingOrder="0" vertical="bottom"/>
    </xf>
    <xf borderId="40" fillId="0" fontId="1" numFmtId="1" xfId="0" applyAlignment="1" applyBorder="1" applyFont="1" applyNumberFormat="1">
      <alignment horizontal="center" readingOrder="0" vertical="bottom"/>
    </xf>
    <xf borderId="40" fillId="0" fontId="1" numFmtId="173" xfId="0" applyAlignment="1" applyBorder="1" applyFont="1" applyNumberFormat="1">
      <alignment horizontal="center" readingOrder="0" vertical="bottom"/>
    </xf>
    <xf borderId="0" fillId="3" fontId="5" numFmtId="172" xfId="0" applyAlignment="1" applyFont="1" applyNumberFormat="1">
      <alignment horizontal="right" vertical="bottom"/>
    </xf>
    <xf borderId="0" fillId="3" fontId="1" numFmtId="0" xfId="0" applyAlignment="1" applyFont="1">
      <alignment shrinkToFit="0" vertical="bottom" wrapText="0"/>
    </xf>
    <xf borderId="0" fillId="3" fontId="1" numFmtId="1" xfId="0" applyAlignment="1" applyFont="1" applyNumberFormat="1">
      <alignment shrinkToFit="0" vertical="bottom" wrapText="0"/>
    </xf>
    <xf borderId="66" fillId="3" fontId="1" numFmtId="0" xfId="0" applyAlignment="1" applyBorder="1" applyFont="1">
      <alignment shrinkToFit="0" vertical="bottom" wrapText="0"/>
    </xf>
    <xf borderId="0" fillId="3" fontId="24" numFmtId="0" xfId="0" applyAlignment="1" applyFont="1">
      <alignment vertical="bottom"/>
    </xf>
    <xf borderId="0" fillId="3" fontId="1" numFmtId="173" xfId="0" applyAlignment="1" applyFont="1" applyNumberFormat="1">
      <alignment vertical="bottom"/>
    </xf>
    <xf borderId="66" fillId="3" fontId="1" numFmtId="0" xfId="0" applyAlignment="1" applyBorder="1" applyFont="1">
      <alignment vertical="bottom"/>
    </xf>
    <xf borderId="0" fillId="3" fontId="1" numFmtId="9" xfId="0" applyAlignment="1" applyFont="1" applyNumberFormat="1">
      <alignment horizontal="right" vertical="bottom"/>
    </xf>
    <xf borderId="0" fillId="3" fontId="1" numFmtId="0" xfId="0" applyAlignment="1" applyFont="1">
      <alignment horizontal="right" vertical="bottom"/>
    </xf>
    <xf borderId="0" fillId="3" fontId="4" numFmtId="172" xfId="0" applyAlignment="1" applyFont="1" applyNumberFormat="1">
      <alignment horizontal="right" vertical="bottom"/>
    </xf>
    <xf borderId="0" fillId="3" fontId="25" numFmtId="0" xfId="0" applyAlignment="1" applyFont="1">
      <alignment horizontal="center" readingOrder="0"/>
    </xf>
    <xf borderId="37" fillId="12" fontId="25" numFmtId="0" xfId="0" applyAlignment="1" applyBorder="1" applyFont="1">
      <alignment horizontal="center" readingOrder="0"/>
    </xf>
    <xf borderId="0" fillId="3" fontId="14" numFmtId="0" xfId="0" applyAlignment="1" applyFont="1">
      <alignment horizontal="left" readingOrder="0" shrinkToFit="0" vertical="center" wrapText="0"/>
    </xf>
    <xf borderId="20" fillId="3" fontId="26" numFmtId="0" xfId="0" applyBorder="1" applyFont="1"/>
    <xf borderId="17" fillId="4" fontId="2" numFmtId="0" xfId="0" applyBorder="1" applyFont="1"/>
    <xf borderId="17" fillId="4" fontId="2" numFmtId="1" xfId="0" applyBorder="1" applyFont="1" applyNumberFormat="1"/>
    <xf borderId="0" fillId="3" fontId="14" numFmtId="0" xfId="0" applyAlignment="1" applyFont="1">
      <alignment horizontal="left" readingOrder="0"/>
    </xf>
    <xf borderId="0" fillId="3" fontId="14" numFmtId="1" xfId="0" applyAlignment="1" applyFont="1" applyNumberFormat="1">
      <alignment horizontal="left" readingOrder="0"/>
    </xf>
    <xf borderId="0" fillId="3" fontId="9" numFmtId="1" xfId="0" applyAlignment="1" applyFont="1" applyNumberFormat="1">
      <alignment horizontal="center" readingOrder="0" shrinkToFit="0" vertical="center" wrapText="0"/>
    </xf>
    <xf borderId="0" fillId="3" fontId="17" numFmtId="0" xfId="0" applyAlignment="1" applyFont="1">
      <alignment readingOrder="0" vertical="bottom"/>
    </xf>
    <xf borderId="40" fillId="16" fontId="6" numFmtId="0" xfId="0" applyAlignment="1" applyBorder="1" applyFont="1">
      <alignment horizontal="center" readingOrder="0"/>
    </xf>
    <xf borderId="0" fillId="3" fontId="20" numFmtId="172" xfId="0" applyAlignment="1" applyFont="1" applyNumberFormat="1">
      <alignment horizontal="right" vertical="bottom"/>
    </xf>
    <xf borderId="35" fillId="16" fontId="6" numFmtId="2" xfId="0" applyAlignment="1" applyBorder="1" applyFont="1" applyNumberFormat="1">
      <alignment horizontal="center"/>
    </xf>
    <xf borderId="32" fillId="16" fontId="6" numFmtId="1" xfId="0" applyAlignment="1" applyBorder="1" applyFont="1" applyNumberFormat="1">
      <alignment horizontal="center"/>
    </xf>
    <xf borderId="34" fillId="16" fontId="6" numFmtId="2" xfId="0" applyAlignment="1" applyBorder="1" applyFont="1" applyNumberFormat="1">
      <alignment horizontal="center"/>
    </xf>
    <xf borderId="0" fillId="3" fontId="5" numFmtId="173" xfId="0" applyAlignment="1" applyFont="1" applyNumberFormat="1">
      <alignment horizontal="right" readingOrder="0" vertical="bottom"/>
    </xf>
    <xf borderId="0" fillId="3" fontId="6" numFmtId="2" xfId="0" applyAlignment="1" applyFont="1" applyNumberFormat="1">
      <alignment horizontal="center"/>
    </xf>
    <xf borderId="0" fillId="3" fontId="1" numFmtId="172" xfId="0" applyAlignment="1" applyFont="1" applyNumberFormat="1">
      <alignment readingOrder="0" vertical="bottom"/>
    </xf>
    <xf borderId="17" fillId="3" fontId="5" numFmtId="0" xfId="0" applyAlignment="1" applyBorder="1" applyFont="1">
      <alignment horizontal="right" readingOrder="0" vertical="bottom"/>
    </xf>
    <xf borderId="0" fillId="3" fontId="6" numFmtId="1" xfId="0" applyAlignment="1" applyFont="1" applyNumberFormat="1">
      <alignment horizontal="center"/>
    </xf>
    <xf borderId="60" fillId="3" fontId="5" numFmtId="0" xfId="0" applyAlignment="1" applyBorder="1" applyFont="1">
      <alignment readingOrder="0" vertical="bottom"/>
    </xf>
    <xf borderId="17" fillId="3" fontId="5" numFmtId="9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horizontal="right" readingOrder="0"/>
    </xf>
    <xf borderId="0" fillId="0" fontId="6" numFmtId="9" xfId="0" applyAlignment="1" applyFont="1" applyNumberFormat="1">
      <alignment readingOrder="0"/>
    </xf>
    <xf borderId="0" fillId="0" fontId="13" numFmtId="1" xfId="0" applyFont="1" applyNumberFormat="1"/>
    <xf borderId="0" fillId="3" fontId="2" numFmtId="1" xfId="0" applyAlignment="1" applyFont="1" applyNumberFormat="1">
      <alignment horizontal="left" readingOrder="0" vertical="bottom"/>
    </xf>
    <xf borderId="17" fillId="3" fontId="14" numFmtId="0" xfId="0" applyAlignment="1" applyBorder="1" applyFont="1">
      <alignment horizontal="left" readingOrder="0" shrinkToFit="0" vertical="center" wrapText="0"/>
    </xf>
    <xf borderId="17" fillId="4" fontId="14" numFmtId="0" xfId="0" applyAlignment="1" applyBorder="1" applyFont="1">
      <alignment horizontal="left" readingOrder="0" shrinkToFit="0" vertical="center" wrapText="0"/>
    </xf>
    <xf borderId="20" fillId="3" fontId="14" numFmtId="0" xfId="0" applyAlignment="1" applyBorder="1" applyFont="1">
      <alignment horizontal="left" readingOrder="0" shrinkToFit="0" vertical="center" wrapText="0"/>
    </xf>
    <xf borderId="60" fillId="3" fontId="27" numFmtId="0" xfId="0" applyAlignment="1" applyBorder="1" applyFont="1">
      <alignment horizontal="left" readingOrder="0" shrinkToFit="0" vertical="center" wrapText="0"/>
    </xf>
    <xf borderId="60" fillId="4" fontId="27" numFmtId="0" xfId="0" applyAlignment="1" applyBorder="1" applyFont="1">
      <alignment horizontal="left" readingOrder="0" shrinkToFit="0" vertical="center" wrapText="0"/>
    </xf>
    <xf borderId="17" fillId="15" fontId="14" numFmtId="0" xfId="0" applyAlignment="1" applyBorder="1" applyFont="1">
      <alignment horizontal="left" readingOrder="0"/>
    </xf>
    <xf borderId="41" fillId="0" fontId="3" numFmtId="0" xfId="0" applyBorder="1" applyFont="1"/>
    <xf borderId="0" fillId="17" fontId="14" numFmtId="0" xfId="0" applyAlignment="1" applyFont="1">
      <alignment horizontal="center" readingOrder="0" shrinkToFit="0" vertical="center" wrapText="0"/>
    </xf>
    <xf borderId="0" fillId="20" fontId="1" numFmtId="0" xfId="0" applyAlignment="1" applyFont="1">
      <alignment readingOrder="0" vertical="bottom"/>
    </xf>
    <xf borderId="0" fillId="20" fontId="1" numFmtId="0" xfId="0" applyAlignment="1" applyFont="1">
      <alignment vertical="bottom"/>
    </xf>
    <xf borderId="64" fillId="0" fontId="19" numFmtId="0" xfId="0" applyAlignment="1" applyBorder="1" applyFont="1">
      <alignment readingOrder="0"/>
    </xf>
    <xf borderId="65" fillId="0" fontId="13" numFmtId="0" xfId="0" applyBorder="1" applyFont="1"/>
    <xf borderId="0" fillId="23" fontId="4" numFmtId="172" xfId="0" applyAlignment="1" applyFill="1" applyFont="1" applyNumberFormat="1">
      <alignment readingOrder="0" vertical="bottom"/>
    </xf>
    <xf borderId="0" fillId="23" fontId="4" numFmtId="172" xfId="0" applyAlignment="1" applyFont="1" applyNumberFormat="1">
      <alignment vertical="bottom"/>
    </xf>
    <xf borderId="0" fillId="3" fontId="2" numFmtId="1" xfId="0" applyAlignment="1" applyFont="1" applyNumberFormat="1">
      <alignment horizontal="right" vertical="bottom"/>
    </xf>
    <xf borderId="17" fillId="3" fontId="5" numFmtId="0" xfId="0" applyAlignment="1" applyBorder="1" applyFont="1">
      <alignment horizontal="left" readingOrder="0" vertical="bottom"/>
    </xf>
    <xf borderId="17" fillId="3" fontId="2" numFmtId="0" xfId="0" applyAlignment="1" applyBorder="1" applyFont="1">
      <alignment horizontal="right" readingOrder="0" vertical="bottom"/>
    </xf>
    <xf borderId="17" fillId="0" fontId="6" numFmtId="0" xfId="0" applyBorder="1" applyFont="1"/>
    <xf borderId="20" fillId="0" fontId="14" numFmtId="0" xfId="0" applyAlignment="1" applyBorder="1" applyFont="1">
      <alignment horizontal="right" readingOrder="0"/>
    </xf>
    <xf borderId="17" fillId="0" fontId="14" numFmtId="0" xfId="0" applyAlignment="1" applyBorder="1" applyFont="1">
      <alignment horizontal="right" readingOrder="0"/>
    </xf>
    <xf borderId="20" fillId="4" fontId="14" numFmtId="0" xfId="0" applyBorder="1" applyFont="1"/>
    <xf borderId="14" fillId="4" fontId="14" numFmtId="1" xfId="0" applyBorder="1" applyFont="1" applyNumberFormat="1"/>
    <xf borderId="15" fillId="4" fontId="14" numFmtId="1" xfId="0" applyAlignment="1" applyBorder="1" applyFont="1" applyNumberFormat="1">
      <alignment readingOrder="0"/>
    </xf>
    <xf borderId="69" fillId="0" fontId="6" numFmtId="0" xfId="0" applyBorder="1" applyFont="1"/>
    <xf borderId="70" fillId="0" fontId="14" numFmtId="0" xfId="0" applyAlignment="1" applyBorder="1" applyFont="1">
      <alignment horizontal="right" readingOrder="0"/>
    </xf>
    <xf borderId="71" fillId="0" fontId="3" numFmtId="0" xfId="0" applyBorder="1" applyFont="1"/>
    <xf borderId="72" fillId="0" fontId="3" numFmtId="0" xfId="0" applyBorder="1" applyFont="1"/>
    <xf borderId="69" fillId="0" fontId="19" numFmtId="9" xfId="0" applyAlignment="1" applyBorder="1" applyFont="1" applyNumberFormat="1">
      <alignment readingOrder="0"/>
    </xf>
    <xf borderId="70" fillId="4" fontId="14" numFmtId="0" xfId="0" applyBorder="1" applyFont="1"/>
    <xf borderId="33" fillId="4" fontId="14" numFmtId="1" xfId="0" applyBorder="1" applyFont="1" applyNumberFormat="1"/>
    <xf borderId="34" fillId="4" fontId="14" numFmtId="1" xfId="0" applyAlignment="1" applyBorder="1" applyFont="1" applyNumberFormat="1">
      <alignment readingOrder="0"/>
    </xf>
    <xf borderId="0" fillId="0" fontId="13" numFmtId="0" xfId="0" applyFont="1"/>
    <xf borderId="37" fillId="17" fontId="9" numFmtId="0" xfId="0" applyAlignment="1" applyBorder="1" applyFont="1">
      <alignment horizontal="center" readingOrder="0" shrinkToFit="0" vertical="center" wrapText="0"/>
    </xf>
    <xf borderId="0" fillId="18" fontId="28" numFmtId="0" xfId="0" applyAlignment="1" applyFont="1">
      <alignment readingOrder="0"/>
    </xf>
    <xf borderId="0" fillId="19" fontId="27" numFmtId="0" xfId="0" applyAlignment="1" applyFont="1">
      <alignment readingOrder="0"/>
    </xf>
    <xf borderId="0" fillId="3" fontId="1" numFmtId="170" xfId="0" applyAlignment="1" applyFont="1" applyNumberFormat="1">
      <alignment horizontal="right" readingOrder="0" vertical="bottom"/>
    </xf>
    <xf borderId="0" fillId="4" fontId="1" numFmtId="0" xfId="0" applyAlignment="1" applyFont="1">
      <alignment readingOrder="0" vertical="bottom"/>
    </xf>
    <xf borderId="0" fillId="3" fontId="1" numFmtId="171" xfId="0" applyAlignment="1" applyFont="1" applyNumberFormat="1">
      <alignment horizontal="right" vertical="bottom"/>
    </xf>
    <xf borderId="0" fillId="20" fontId="1" numFmtId="170" xfId="0" applyAlignment="1" applyFont="1" applyNumberFormat="1">
      <alignment vertical="bottom"/>
    </xf>
    <xf borderId="41" fillId="0" fontId="6" numFmtId="0" xfId="0" applyBorder="1" applyFont="1"/>
    <xf borderId="73" fillId="0" fontId="6" numFmtId="0" xfId="0" applyBorder="1" applyFont="1"/>
    <xf borderId="0" fillId="0" fontId="6" numFmtId="0" xfId="0" applyFont="1"/>
    <xf borderId="0" fillId="3" fontId="1" numFmtId="175" xfId="0" applyAlignment="1" applyFont="1" applyNumberFormat="1">
      <alignment horizontal="right" vertical="bottom"/>
    </xf>
    <xf borderId="0" fillId="3" fontId="1" numFmtId="176" xfId="0" applyAlignment="1" applyFont="1" applyNumberFormat="1">
      <alignment horizontal="right" vertical="bottom"/>
    </xf>
    <xf borderId="0" fillId="3" fontId="4" numFmtId="171" xfId="0" applyAlignment="1" applyFont="1" applyNumberFormat="1">
      <alignment horizontal="right" vertical="bottom"/>
    </xf>
    <xf borderId="0" fillId="17" fontId="9" numFmtId="0" xfId="0" applyAlignment="1" applyFont="1">
      <alignment horizontal="center" readingOrder="0" shrinkToFit="0" vertical="center" wrapText="0"/>
    </xf>
    <xf borderId="0" fillId="3" fontId="27" numFmtId="0" xfId="0" applyAlignment="1" applyFont="1">
      <alignment readingOrder="0"/>
    </xf>
    <xf borderId="0" fillId="3" fontId="4" numFmtId="172" xfId="0" applyAlignment="1" applyFont="1" applyNumberFormat="1">
      <alignment vertical="bottom"/>
    </xf>
    <xf borderId="17" fillId="3" fontId="1" numFmtId="0" xfId="0" applyAlignment="1" applyBorder="1" applyFont="1">
      <alignment horizontal="right" readingOrder="0" vertical="bottom"/>
    </xf>
    <xf borderId="70" fillId="4" fontId="28" numFmtId="0" xfId="0" applyBorder="1" applyFont="1"/>
    <xf borderId="33" fillId="4" fontId="28" numFmtId="1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276225</xdr:colOff>
      <xdr:row>11</xdr:row>
      <xdr:rowOff>142875</xdr:rowOff>
    </xdr:from>
    <xdr:ext cx="4419600" cy="3848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161925</xdr:colOff>
      <xdr:row>3</xdr:row>
      <xdr:rowOff>85725</xdr:rowOff>
    </xdr:from>
    <xdr:ext cx="3381375" cy="28194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400050</xdr:colOff>
      <xdr:row>3</xdr:row>
      <xdr:rowOff>85725</xdr:rowOff>
    </xdr:from>
    <xdr:ext cx="2609850" cy="264795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257175</xdr:colOff>
      <xdr:row>0</xdr:row>
      <xdr:rowOff>-76200</xdr:rowOff>
    </xdr:from>
    <xdr:ext cx="1704975" cy="2895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2" max="2" width="7.25"/>
    <col customWidth="1" min="3" max="3" width="32.75"/>
    <col customWidth="1" min="5" max="5" width="5.25"/>
    <col customWidth="1" min="6" max="6" width="4.63"/>
    <col customWidth="1" min="9" max="10" width="9.88"/>
    <col customWidth="1" min="11" max="11" width="7.25"/>
    <col customWidth="1" min="14" max="14" width="13.5"/>
    <col customWidth="1" min="17" max="17" width="18.38"/>
    <col min="22" max="22" width="12.63" outlineLevel="1"/>
    <col customWidth="1" min="23" max="23" width="17.13" outlineLevel="1"/>
    <col min="24" max="24" width="12.63" outlineLevel="1"/>
    <col customWidth="1" min="25" max="25" width="15.63"/>
    <col customWidth="1" min="26" max="26" width="15.5"/>
    <col customWidth="1" min="27" max="27" width="15.88" outlineLevel="1"/>
    <col customWidth="1" min="28" max="28" width="17.75" outlineLevel="1"/>
    <col customWidth="1" min="29" max="29" width="15.88" outlineLevel="1"/>
    <col customWidth="1" min="30" max="31" width="15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  <c r="L2" s="2"/>
      <c r="M2" s="1" t="s">
        <v>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/>
      <c r="U3" s="3" t="s">
        <v>2</v>
      </c>
      <c r="V3" s="4"/>
      <c r="W3" s="5" t="s">
        <v>3</v>
      </c>
      <c r="X3" s="6"/>
      <c r="Y3" s="6"/>
      <c r="Z3" s="6"/>
      <c r="AA3" s="7"/>
      <c r="AB3" s="5" t="s">
        <v>4</v>
      </c>
      <c r="AC3" s="6"/>
      <c r="AD3" s="6"/>
      <c r="AE3" s="6"/>
      <c r="AF3" s="8"/>
      <c r="AG3" s="2"/>
      <c r="AH3" s="2"/>
    </row>
    <row r="4">
      <c r="A4" s="2"/>
      <c r="B4" s="9" t="s">
        <v>5</v>
      </c>
      <c r="C4" s="10" t="s">
        <v>6</v>
      </c>
      <c r="D4" s="11"/>
      <c r="E4" s="11"/>
      <c r="F4" s="12"/>
      <c r="G4" s="13" t="s">
        <v>7</v>
      </c>
      <c r="H4" s="14" t="s">
        <v>8</v>
      </c>
      <c r="I4" s="15" t="s">
        <v>9</v>
      </c>
      <c r="J4" s="2"/>
      <c r="K4" s="2"/>
      <c r="L4" s="16" t="s">
        <v>5</v>
      </c>
      <c r="M4" s="17" t="s">
        <v>6</v>
      </c>
      <c r="N4" s="18" t="s">
        <v>7</v>
      </c>
      <c r="O4" s="19" t="s">
        <v>10</v>
      </c>
      <c r="P4" s="1"/>
      <c r="Q4" s="1"/>
      <c r="R4" s="1"/>
      <c r="S4" s="1"/>
      <c r="T4" s="2"/>
      <c r="U4" s="20" t="s">
        <v>6</v>
      </c>
      <c r="V4" s="21" t="s">
        <v>11</v>
      </c>
      <c r="W4" s="21" t="s">
        <v>12</v>
      </c>
      <c r="X4" s="21" t="s">
        <v>13</v>
      </c>
      <c r="Y4" s="21" t="s">
        <v>14</v>
      </c>
      <c r="Z4" s="21" t="s">
        <v>15</v>
      </c>
      <c r="AA4" s="21" t="s">
        <v>16</v>
      </c>
      <c r="AB4" s="21" t="s">
        <v>12</v>
      </c>
      <c r="AC4" s="21" t="s">
        <v>17</v>
      </c>
      <c r="AD4" s="21" t="s">
        <v>14</v>
      </c>
      <c r="AE4" s="21" t="s">
        <v>15</v>
      </c>
      <c r="AF4" s="22" t="s">
        <v>16</v>
      </c>
      <c r="AG4" s="2"/>
      <c r="AH4" s="2"/>
    </row>
    <row r="5">
      <c r="A5" s="1"/>
      <c r="B5" s="23">
        <v>1.0</v>
      </c>
      <c r="C5" s="24" t="s">
        <v>18</v>
      </c>
      <c r="D5" s="25"/>
      <c r="E5" s="26">
        <v>4.0</v>
      </c>
      <c r="F5" s="27">
        <v>8.0</v>
      </c>
      <c r="G5" s="28" t="s">
        <v>19</v>
      </c>
      <c r="H5" s="29">
        <v>272.0</v>
      </c>
      <c r="I5" s="30">
        <f t="shared" ref="I5:I24" si="1">H5/32</f>
        <v>8.5</v>
      </c>
      <c r="J5" s="31" t="s">
        <v>20</v>
      </c>
      <c r="K5" s="32"/>
      <c r="L5" s="33">
        <v>1.0</v>
      </c>
      <c r="M5" s="34" t="s">
        <v>21</v>
      </c>
      <c r="N5" s="35" t="s">
        <v>22</v>
      </c>
      <c r="O5" s="36">
        <v>800.0</v>
      </c>
      <c r="P5" s="1"/>
      <c r="Q5" s="1"/>
      <c r="R5" s="1"/>
      <c r="S5" s="1"/>
      <c r="T5" s="2"/>
      <c r="U5" s="37" t="s">
        <v>23</v>
      </c>
      <c r="V5" s="38" t="s">
        <v>24</v>
      </c>
      <c r="W5" s="38">
        <v>0.0</v>
      </c>
      <c r="X5" s="38">
        <v>0.0</v>
      </c>
      <c r="Y5" s="39">
        <v>0.43</v>
      </c>
      <c r="Z5" s="40">
        <v>0.0</v>
      </c>
      <c r="AA5" s="40">
        <v>0.0</v>
      </c>
      <c r="AB5" s="40">
        <f t="shared" ref="AB5:AB24" si="2">AC5/32</f>
        <v>10.90625</v>
      </c>
      <c r="AC5" s="38">
        <f t="shared" ref="AC5:AC24" si="3">ROUNDUP(AF5/0.78,0)</f>
        <v>349</v>
      </c>
      <c r="AD5" s="39">
        <v>0.22</v>
      </c>
      <c r="AE5" s="38">
        <f t="shared" ref="AE5:AE24" si="4">AG5/1.18</f>
        <v>8.474576271</v>
      </c>
      <c r="AF5" s="41">
        <f t="shared" ref="AF5:AF24" si="5">roundup(AE5*32,0)</f>
        <v>272</v>
      </c>
      <c r="AG5" s="42">
        <v>10.0</v>
      </c>
      <c r="AH5" s="32"/>
    </row>
    <row r="6">
      <c r="A6" s="1"/>
      <c r="B6" s="23">
        <f t="shared" ref="B6:B24" si="6">B5+1</f>
        <v>2</v>
      </c>
      <c r="C6" s="43" t="s">
        <v>25</v>
      </c>
      <c r="D6" s="44"/>
      <c r="E6" s="45">
        <v>4.0</v>
      </c>
      <c r="F6" s="46">
        <v>8.0</v>
      </c>
      <c r="G6" s="47" t="s">
        <v>19</v>
      </c>
      <c r="H6" s="48">
        <v>313.0</v>
      </c>
      <c r="I6" s="30">
        <f t="shared" si="1"/>
        <v>9.78125</v>
      </c>
      <c r="J6" s="31" t="s">
        <v>20</v>
      </c>
      <c r="K6" s="32"/>
      <c r="L6" s="33">
        <v>2.0</v>
      </c>
      <c r="M6" s="49" t="s">
        <v>26</v>
      </c>
      <c r="N6" s="35" t="s">
        <v>22</v>
      </c>
      <c r="O6" s="36">
        <v>600.0</v>
      </c>
      <c r="P6" s="1"/>
      <c r="Q6" s="1"/>
      <c r="R6" s="1"/>
      <c r="S6" s="1"/>
      <c r="T6" s="2"/>
      <c r="U6" s="37" t="s">
        <v>27</v>
      </c>
      <c r="V6" s="38" t="s">
        <v>24</v>
      </c>
      <c r="W6" s="38">
        <v>17.15</v>
      </c>
      <c r="X6" s="40">
        <f t="shared" ref="X6:X24" si="7">roundup(W6*32,0)</f>
        <v>549</v>
      </c>
      <c r="Y6" s="39">
        <v>0.43</v>
      </c>
      <c r="Z6" s="40">
        <f t="shared" ref="Z6:Z24" si="8">W6*(1-Y6)</f>
        <v>9.7755</v>
      </c>
      <c r="AA6" s="40">
        <f t="shared" ref="AA6:AA24" si="9">roundup(Z6*32,0)</f>
        <v>313</v>
      </c>
      <c r="AB6" s="40">
        <f t="shared" si="2"/>
        <v>15.6875</v>
      </c>
      <c r="AC6" s="38">
        <f t="shared" si="3"/>
        <v>502</v>
      </c>
      <c r="AD6" s="39">
        <v>0.22</v>
      </c>
      <c r="AE6" s="38">
        <f t="shared" si="4"/>
        <v>12.20338983</v>
      </c>
      <c r="AF6" s="41">
        <f t="shared" si="5"/>
        <v>391</v>
      </c>
      <c r="AG6" s="42">
        <v>14.4</v>
      </c>
      <c r="AH6" s="32"/>
    </row>
    <row r="7">
      <c r="A7" s="1"/>
      <c r="B7" s="23">
        <f t="shared" si="6"/>
        <v>3</v>
      </c>
      <c r="C7" s="43" t="s">
        <v>28</v>
      </c>
      <c r="D7" s="44"/>
      <c r="E7" s="45">
        <v>4.0</v>
      </c>
      <c r="F7" s="46">
        <v>8.0</v>
      </c>
      <c r="G7" s="47" t="s">
        <v>19</v>
      </c>
      <c r="H7" s="48">
        <v>497.0</v>
      </c>
      <c r="I7" s="30">
        <f t="shared" si="1"/>
        <v>15.53125</v>
      </c>
      <c r="J7" s="31" t="s">
        <v>20</v>
      </c>
      <c r="K7" s="32"/>
      <c r="L7" s="33">
        <v>3.0</v>
      </c>
      <c r="M7" s="50" t="s">
        <v>29</v>
      </c>
      <c r="N7" s="51" t="s">
        <v>30</v>
      </c>
      <c r="O7" s="52">
        <v>280.0</v>
      </c>
      <c r="P7" s="1"/>
      <c r="Q7" s="2"/>
      <c r="R7" s="1"/>
      <c r="S7" s="1"/>
      <c r="T7" s="2"/>
      <c r="U7" s="37" t="s">
        <v>31</v>
      </c>
      <c r="V7" s="38" t="s">
        <v>24</v>
      </c>
      <c r="W7" s="38">
        <v>27.2</v>
      </c>
      <c r="X7" s="40">
        <f t="shared" si="7"/>
        <v>871</v>
      </c>
      <c r="Y7" s="39">
        <v>0.43</v>
      </c>
      <c r="Z7" s="40">
        <f t="shared" si="8"/>
        <v>15.504</v>
      </c>
      <c r="AA7" s="40">
        <f t="shared" si="9"/>
        <v>497</v>
      </c>
      <c r="AB7" s="40">
        <f t="shared" si="2"/>
        <v>24.78125</v>
      </c>
      <c r="AC7" s="38">
        <f t="shared" si="3"/>
        <v>793</v>
      </c>
      <c r="AD7" s="39">
        <v>0.22</v>
      </c>
      <c r="AE7" s="38">
        <f t="shared" si="4"/>
        <v>19.30508475</v>
      </c>
      <c r="AF7" s="41">
        <f t="shared" si="5"/>
        <v>618</v>
      </c>
      <c r="AG7" s="42">
        <v>22.78</v>
      </c>
      <c r="AH7" s="32"/>
    </row>
    <row r="8">
      <c r="A8" s="1"/>
      <c r="B8" s="23">
        <f t="shared" si="6"/>
        <v>4</v>
      </c>
      <c r="C8" s="43" t="s">
        <v>32</v>
      </c>
      <c r="D8" s="44"/>
      <c r="E8" s="45">
        <v>4.0</v>
      </c>
      <c r="F8" s="46">
        <v>8.0</v>
      </c>
      <c r="G8" s="47" t="s">
        <v>19</v>
      </c>
      <c r="H8" s="48">
        <v>622.0</v>
      </c>
      <c r="I8" s="30">
        <f t="shared" si="1"/>
        <v>19.4375</v>
      </c>
      <c r="J8" s="31" t="s">
        <v>20</v>
      </c>
      <c r="K8" s="32"/>
      <c r="L8" s="33">
        <v>4.0</v>
      </c>
      <c r="M8" s="50" t="s">
        <v>33</v>
      </c>
      <c r="N8" s="51" t="s">
        <v>30</v>
      </c>
      <c r="O8" s="52">
        <v>250.0</v>
      </c>
      <c r="P8" s="1"/>
      <c r="Q8" s="2"/>
      <c r="R8" s="2"/>
      <c r="S8" s="2"/>
      <c r="T8" s="2"/>
      <c r="U8" s="37" t="s">
        <v>34</v>
      </c>
      <c r="V8" s="38" t="s">
        <v>24</v>
      </c>
      <c r="W8" s="38">
        <v>34.06</v>
      </c>
      <c r="X8" s="40">
        <f t="shared" si="7"/>
        <v>1090</v>
      </c>
      <c r="Y8" s="39">
        <v>0.43</v>
      </c>
      <c r="Z8" s="40">
        <f t="shared" si="8"/>
        <v>19.4142</v>
      </c>
      <c r="AA8" s="40">
        <f t="shared" si="9"/>
        <v>622</v>
      </c>
      <c r="AB8" s="40">
        <f t="shared" si="2"/>
        <v>31.34375</v>
      </c>
      <c r="AC8" s="38">
        <f t="shared" si="3"/>
        <v>1003</v>
      </c>
      <c r="AD8" s="39">
        <v>0.22</v>
      </c>
      <c r="AE8" s="38">
        <f t="shared" si="4"/>
        <v>24.42372881</v>
      </c>
      <c r="AF8" s="41">
        <f t="shared" si="5"/>
        <v>782</v>
      </c>
      <c r="AG8" s="42">
        <v>28.82</v>
      </c>
      <c r="AH8" s="32"/>
    </row>
    <row r="9">
      <c r="A9" s="1"/>
      <c r="B9" s="23">
        <f t="shared" si="6"/>
        <v>5</v>
      </c>
      <c r="C9" s="43" t="s">
        <v>35</v>
      </c>
      <c r="D9" s="44"/>
      <c r="E9" s="45">
        <v>4.0</v>
      </c>
      <c r="F9" s="46">
        <v>8.0</v>
      </c>
      <c r="G9" s="47" t="s">
        <v>19</v>
      </c>
      <c r="H9" s="48">
        <v>950.0</v>
      </c>
      <c r="I9" s="30">
        <f t="shared" si="1"/>
        <v>29.6875</v>
      </c>
      <c r="J9" s="31" t="s">
        <v>20</v>
      </c>
      <c r="K9" s="32"/>
      <c r="L9" s="33">
        <v>5.0</v>
      </c>
      <c r="M9" s="53" t="s">
        <v>36</v>
      </c>
      <c r="N9" s="51" t="s">
        <v>37</v>
      </c>
      <c r="O9" s="54">
        <v>130.0</v>
      </c>
      <c r="P9" s="1"/>
      <c r="Q9" s="2"/>
      <c r="R9" s="2"/>
      <c r="S9" s="1"/>
      <c r="T9" s="2"/>
      <c r="U9" s="37" t="s">
        <v>38</v>
      </c>
      <c r="V9" s="38" t="s">
        <v>24</v>
      </c>
      <c r="W9" s="38">
        <v>52.03</v>
      </c>
      <c r="X9" s="40">
        <f t="shared" si="7"/>
        <v>1665</v>
      </c>
      <c r="Y9" s="39">
        <v>0.43</v>
      </c>
      <c r="Z9" s="40">
        <f t="shared" si="8"/>
        <v>29.6571</v>
      </c>
      <c r="AA9" s="40">
        <f t="shared" si="9"/>
        <v>950</v>
      </c>
      <c r="AB9" s="40">
        <f t="shared" si="2"/>
        <v>46.5625</v>
      </c>
      <c r="AC9" s="38">
        <f t="shared" si="3"/>
        <v>1490</v>
      </c>
      <c r="AD9" s="39">
        <v>0.22</v>
      </c>
      <c r="AE9" s="38">
        <f t="shared" si="4"/>
        <v>36.30508475</v>
      </c>
      <c r="AF9" s="41">
        <f t="shared" si="5"/>
        <v>1162</v>
      </c>
      <c r="AG9" s="42">
        <v>42.84</v>
      </c>
      <c r="AH9" s="32"/>
    </row>
    <row r="10">
      <c r="A10" s="1"/>
      <c r="B10" s="23">
        <f t="shared" si="6"/>
        <v>6</v>
      </c>
      <c r="C10" s="43" t="s">
        <v>39</v>
      </c>
      <c r="D10" s="44"/>
      <c r="E10" s="45">
        <v>4.0</v>
      </c>
      <c r="F10" s="46">
        <v>8.0</v>
      </c>
      <c r="G10" s="47" t="s">
        <v>19</v>
      </c>
      <c r="H10" s="48">
        <v>1397.0</v>
      </c>
      <c r="I10" s="30">
        <f t="shared" si="1"/>
        <v>43.65625</v>
      </c>
      <c r="J10" s="31" t="s">
        <v>20</v>
      </c>
      <c r="K10" s="32"/>
      <c r="L10" s="33">
        <v>6.0</v>
      </c>
      <c r="M10" s="53" t="s">
        <v>40</v>
      </c>
      <c r="N10" s="55" t="s">
        <v>37</v>
      </c>
      <c r="O10" s="54">
        <v>160.0</v>
      </c>
      <c r="P10" s="1"/>
      <c r="Q10" s="1"/>
      <c r="R10" s="1"/>
      <c r="S10" s="1"/>
      <c r="T10" s="2"/>
      <c r="U10" s="37" t="s">
        <v>41</v>
      </c>
      <c r="V10" s="38" t="s">
        <v>24</v>
      </c>
      <c r="W10" s="38">
        <v>76.54</v>
      </c>
      <c r="X10" s="40">
        <f t="shared" si="7"/>
        <v>2450</v>
      </c>
      <c r="Y10" s="39">
        <v>0.43</v>
      </c>
      <c r="Z10" s="40">
        <f t="shared" si="8"/>
        <v>43.6278</v>
      </c>
      <c r="AA10" s="40">
        <f t="shared" si="9"/>
        <v>1397</v>
      </c>
      <c r="AB10" s="40">
        <f t="shared" si="2"/>
        <v>68.5</v>
      </c>
      <c r="AC10" s="38">
        <f t="shared" si="3"/>
        <v>2192</v>
      </c>
      <c r="AD10" s="39">
        <v>0.22</v>
      </c>
      <c r="AE10" s="38">
        <f t="shared" si="4"/>
        <v>53.38135593</v>
      </c>
      <c r="AF10" s="41">
        <f t="shared" si="5"/>
        <v>1709</v>
      </c>
      <c r="AG10" s="42">
        <v>62.99</v>
      </c>
      <c r="AH10" s="32"/>
    </row>
    <row r="11">
      <c r="A11" s="1"/>
      <c r="B11" s="23">
        <f t="shared" si="6"/>
        <v>7</v>
      </c>
      <c r="C11" s="43" t="s">
        <v>42</v>
      </c>
      <c r="D11" s="44"/>
      <c r="E11" s="45">
        <v>4.0</v>
      </c>
      <c r="F11" s="46">
        <v>8.0</v>
      </c>
      <c r="G11" s="47" t="s">
        <v>19</v>
      </c>
      <c r="H11" s="48">
        <v>2274.0</v>
      </c>
      <c r="I11" s="30">
        <f t="shared" si="1"/>
        <v>71.0625</v>
      </c>
      <c r="J11" s="31" t="s">
        <v>20</v>
      </c>
      <c r="K11" s="32"/>
      <c r="L11" s="33">
        <v>5.0</v>
      </c>
      <c r="M11" s="56" t="s">
        <v>43</v>
      </c>
      <c r="N11" s="35" t="s">
        <v>37</v>
      </c>
      <c r="O11" s="36">
        <v>15.0</v>
      </c>
      <c r="P11" s="1"/>
      <c r="Q11" s="2"/>
      <c r="R11" s="1"/>
      <c r="S11" s="1"/>
      <c r="T11" s="2"/>
      <c r="U11" s="37" t="s">
        <v>44</v>
      </c>
      <c r="V11" s="38" t="s">
        <v>24</v>
      </c>
      <c r="W11" s="38">
        <v>124.66</v>
      </c>
      <c r="X11" s="40">
        <f t="shared" si="7"/>
        <v>3990</v>
      </c>
      <c r="Y11" s="39">
        <v>0.43</v>
      </c>
      <c r="Z11" s="40">
        <f t="shared" si="8"/>
        <v>71.0562</v>
      </c>
      <c r="AA11" s="40">
        <f t="shared" si="9"/>
        <v>2274</v>
      </c>
      <c r="AB11" s="40">
        <f t="shared" si="2"/>
        <v>111.5</v>
      </c>
      <c r="AC11" s="38">
        <f t="shared" si="3"/>
        <v>3568</v>
      </c>
      <c r="AD11" s="39">
        <v>0.22</v>
      </c>
      <c r="AE11" s="38">
        <f t="shared" si="4"/>
        <v>86.96610169</v>
      </c>
      <c r="AF11" s="41">
        <f t="shared" si="5"/>
        <v>2783</v>
      </c>
      <c r="AG11" s="42">
        <v>102.62</v>
      </c>
      <c r="AH11" s="32"/>
    </row>
    <row r="12">
      <c r="A12" s="1"/>
      <c r="B12" s="23">
        <f t="shared" si="6"/>
        <v>8</v>
      </c>
      <c r="C12" s="43" t="s">
        <v>45</v>
      </c>
      <c r="D12" s="44"/>
      <c r="E12" s="45">
        <v>4.0</v>
      </c>
      <c r="F12" s="46">
        <v>8.0</v>
      </c>
      <c r="G12" s="47" t="s">
        <v>19</v>
      </c>
      <c r="H12" s="48">
        <v>3165.0</v>
      </c>
      <c r="I12" s="30">
        <f t="shared" si="1"/>
        <v>98.90625</v>
      </c>
      <c r="J12" s="31" t="s">
        <v>20</v>
      </c>
      <c r="K12" s="32"/>
      <c r="L12" s="57">
        <v>6.0</v>
      </c>
      <c r="M12" s="34" t="s">
        <v>46</v>
      </c>
      <c r="N12" s="58" t="s">
        <v>37</v>
      </c>
      <c r="O12" s="36">
        <v>50.0</v>
      </c>
      <c r="P12" s="1"/>
      <c r="Q12" s="1"/>
      <c r="R12" s="1"/>
      <c r="S12" s="1"/>
      <c r="T12" s="2"/>
      <c r="U12" s="37" t="s">
        <v>47</v>
      </c>
      <c r="V12" s="38" t="s">
        <v>24</v>
      </c>
      <c r="W12" s="38">
        <v>173.48</v>
      </c>
      <c r="X12" s="40">
        <f t="shared" si="7"/>
        <v>5552</v>
      </c>
      <c r="Y12" s="39">
        <v>0.43</v>
      </c>
      <c r="Z12" s="40">
        <f t="shared" si="8"/>
        <v>98.8836</v>
      </c>
      <c r="AA12" s="40">
        <f t="shared" si="9"/>
        <v>3165</v>
      </c>
      <c r="AB12" s="40">
        <f t="shared" si="2"/>
        <v>0</v>
      </c>
      <c r="AC12" s="38">
        <f t="shared" si="3"/>
        <v>0</v>
      </c>
      <c r="AD12" s="39">
        <v>0.22</v>
      </c>
      <c r="AE12" s="38">
        <f t="shared" si="4"/>
        <v>0</v>
      </c>
      <c r="AF12" s="41">
        <f t="shared" si="5"/>
        <v>0</v>
      </c>
      <c r="AG12" s="42">
        <v>0.0</v>
      </c>
      <c r="AH12" s="32"/>
    </row>
    <row r="13">
      <c r="A13" s="1"/>
      <c r="B13" s="23">
        <f t="shared" si="6"/>
        <v>9</v>
      </c>
      <c r="C13" s="59" t="s">
        <v>48</v>
      </c>
      <c r="D13" s="60"/>
      <c r="E13" s="61">
        <v>4.0</v>
      </c>
      <c r="F13" s="62">
        <v>8.0</v>
      </c>
      <c r="G13" s="63" t="s">
        <v>19</v>
      </c>
      <c r="H13" s="64">
        <v>407.0</v>
      </c>
      <c r="I13" s="30">
        <f t="shared" si="1"/>
        <v>12.71875</v>
      </c>
      <c r="J13" s="31" t="s">
        <v>20</v>
      </c>
      <c r="K13" s="32"/>
      <c r="L13" s="65"/>
      <c r="M13" s="53"/>
      <c r="N13" s="66"/>
      <c r="O13" s="54"/>
      <c r="P13" s="1"/>
      <c r="Q13" s="2"/>
      <c r="R13" s="2"/>
      <c r="S13" s="2"/>
      <c r="T13" s="2"/>
      <c r="U13" s="67" t="s">
        <v>49</v>
      </c>
      <c r="V13" s="38" t="s">
        <v>24</v>
      </c>
      <c r="W13" s="38">
        <v>22.3</v>
      </c>
      <c r="X13" s="40">
        <f t="shared" si="7"/>
        <v>714</v>
      </c>
      <c r="Y13" s="39">
        <v>0.43</v>
      </c>
      <c r="Z13" s="40">
        <f t="shared" si="8"/>
        <v>12.711</v>
      </c>
      <c r="AA13" s="40">
        <f t="shared" si="9"/>
        <v>407</v>
      </c>
      <c r="AB13" s="40">
        <f t="shared" si="2"/>
        <v>20</v>
      </c>
      <c r="AC13" s="38">
        <f t="shared" si="3"/>
        <v>640</v>
      </c>
      <c r="AD13" s="39">
        <v>0.22</v>
      </c>
      <c r="AE13" s="38">
        <f t="shared" si="4"/>
        <v>15.57627119</v>
      </c>
      <c r="AF13" s="41">
        <f t="shared" si="5"/>
        <v>499</v>
      </c>
      <c r="AG13" s="42">
        <v>18.38</v>
      </c>
      <c r="AH13" s="32"/>
    </row>
    <row r="14">
      <c r="A14" s="1"/>
      <c r="B14" s="23">
        <f t="shared" si="6"/>
        <v>10</v>
      </c>
      <c r="C14" s="59" t="s">
        <v>50</v>
      </c>
      <c r="D14" s="60"/>
      <c r="E14" s="61">
        <v>4.0</v>
      </c>
      <c r="F14" s="62">
        <v>8.0</v>
      </c>
      <c r="G14" s="63" t="s">
        <v>19</v>
      </c>
      <c r="H14" s="64">
        <v>657.0</v>
      </c>
      <c r="I14" s="30">
        <f t="shared" si="1"/>
        <v>20.53125</v>
      </c>
      <c r="J14" s="31" t="s">
        <v>20</v>
      </c>
      <c r="K14" s="32"/>
      <c r="L14" s="65"/>
      <c r="M14" s="53"/>
      <c r="N14" s="66"/>
      <c r="O14" s="54"/>
      <c r="P14" s="1"/>
      <c r="Q14" s="1"/>
      <c r="R14" s="1"/>
      <c r="S14" s="1"/>
      <c r="T14" s="2"/>
      <c r="U14" s="67" t="s">
        <v>51</v>
      </c>
      <c r="V14" s="38" t="s">
        <v>24</v>
      </c>
      <c r="W14" s="38">
        <v>36.01</v>
      </c>
      <c r="X14" s="40">
        <f t="shared" si="7"/>
        <v>1153</v>
      </c>
      <c r="Y14" s="39">
        <v>0.43</v>
      </c>
      <c r="Z14" s="40">
        <f t="shared" si="8"/>
        <v>20.5257</v>
      </c>
      <c r="AA14" s="40">
        <f t="shared" si="9"/>
        <v>657</v>
      </c>
      <c r="AB14" s="40">
        <f t="shared" si="2"/>
        <v>32.1875</v>
      </c>
      <c r="AC14" s="38">
        <f t="shared" si="3"/>
        <v>1030</v>
      </c>
      <c r="AD14" s="39">
        <v>0.22</v>
      </c>
      <c r="AE14" s="38">
        <f t="shared" si="4"/>
        <v>25.09322034</v>
      </c>
      <c r="AF14" s="41">
        <f t="shared" si="5"/>
        <v>803</v>
      </c>
      <c r="AG14" s="42">
        <v>29.61</v>
      </c>
      <c r="AH14" s="32"/>
    </row>
    <row r="15">
      <c r="A15" s="1"/>
      <c r="B15" s="23">
        <f t="shared" si="6"/>
        <v>11</v>
      </c>
      <c r="C15" s="59" t="s">
        <v>52</v>
      </c>
      <c r="D15" s="60"/>
      <c r="E15" s="61">
        <v>4.0</v>
      </c>
      <c r="F15" s="62">
        <v>8.0</v>
      </c>
      <c r="G15" s="63" t="s">
        <v>19</v>
      </c>
      <c r="H15" s="64">
        <v>830.0</v>
      </c>
      <c r="I15" s="30">
        <f t="shared" si="1"/>
        <v>25.9375</v>
      </c>
      <c r="J15" s="31" t="s">
        <v>20</v>
      </c>
      <c r="K15" s="32"/>
      <c r="L15" s="65"/>
      <c r="M15" s="53"/>
      <c r="N15" s="66"/>
      <c r="O15" s="54"/>
      <c r="P15" s="1"/>
      <c r="Q15" s="1"/>
      <c r="R15" s="1"/>
      <c r="S15" s="1"/>
      <c r="T15" s="2"/>
      <c r="U15" s="67" t="s">
        <v>53</v>
      </c>
      <c r="V15" s="38" t="s">
        <v>24</v>
      </c>
      <c r="W15" s="38">
        <v>45.49</v>
      </c>
      <c r="X15" s="40">
        <f t="shared" si="7"/>
        <v>1456</v>
      </c>
      <c r="Y15" s="39">
        <v>0.43</v>
      </c>
      <c r="Z15" s="40">
        <f t="shared" si="8"/>
        <v>25.9293</v>
      </c>
      <c r="AA15" s="40">
        <f t="shared" si="9"/>
        <v>830</v>
      </c>
      <c r="AB15" s="40">
        <f t="shared" si="2"/>
        <v>40.71875</v>
      </c>
      <c r="AC15" s="38">
        <f t="shared" si="3"/>
        <v>1303</v>
      </c>
      <c r="AD15" s="39">
        <v>0.22</v>
      </c>
      <c r="AE15" s="38">
        <f t="shared" si="4"/>
        <v>31.74576271</v>
      </c>
      <c r="AF15" s="41">
        <f t="shared" si="5"/>
        <v>1016</v>
      </c>
      <c r="AG15" s="42">
        <v>37.46</v>
      </c>
      <c r="AH15" s="32"/>
    </row>
    <row r="16">
      <c r="A16" s="1"/>
      <c r="B16" s="23">
        <f t="shared" si="6"/>
        <v>12</v>
      </c>
      <c r="C16" s="59" t="s">
        <v>54</v>
      </c>
      <c r="D16" s="68"/>
      <c r="E16" s="61">
        <v>4.0</v>
      </c>
      <c r="F16" s="62">
        <v>8.0</v>
      </c>
      <c r="G16" s="63" t="s">
        <v>19</v>
      </c>
      <c r="H16" s="64">
        <v>1234.0</v>
      </c>
      <c r="I16" s="30">
        <f t="shared" si="1"/>
        <v>38.5625</v>
      </c>
      <c r="J16" s="31" t="s">
        <v>20</v>
      </c>
      <c r="K16" s="32"/>
      <c r="L16" s="65"/>
      <c r="M16" s="53"/>
      <c r="N16" s="66"/>
      <c r="O16" s="54"/>
      <c r="P16" s="1"/>
      <c r="Q16" s="1"/>
      <c r="R16" s="1"/>
      <c r="S16" s="1"/>
      <c r="T16" s="2"/>
      <c r="U16" s="67" t="s">
        <v>55</v>
      </c>
      <c r="V16" s="38" t="s">
        <v>24</v>
      </c>
      <c r="W16" s="38">
        <v>67.64</v>
      </c>
      <c r="X16" s="40">
        <f t="shared" si="7"/>
        <v>2165</v>
      </c>
      <c r="Y16" s="39">
        <v>0.43</v>
      </c>
      <c r="Z16" s="40">
        <f t="shared" si="8"/>
        <v>38.5548</v>
      </c>
      <c r="AA16" s="40">
        <f t="shared" si="9"/>
        <v>1234</v>
      </c>
      <c r="AB16" s="40">
        <f t="shared" si="2"/>
        <v>60.5625</v>
      </c>
      <c r="AC16" s="38">
        <f t="shared" si="3"/>
        <v>1938</v>
      </c>
      <c r="AD16" s="39">
        <v>0.22</v>
      </c>
      <c r="AE16" s="38">
        <f t="shared" si="4"/>
        <v>47.19491525</v>
      </c>
      <c r="AF16" s="41">
        <f t="shared" si="5"/>
        <v>1511</v>
      </c>
      <c r="AG16" s="42">
        <v>55.69</v>
      </c>
      <c r="AH16" s="32"/>
    </row>
    <row r="17">
      <c r="A17" s="1"/>
      <c r="B17" s="23">
        <f t="shared" si="6"/>
        <v>13</v>
      </c>
      <c r="C17" s="59" t="s">
        <v>56</v>
      </c>
      <c r="D17" s="60"/>
      <c r="E17" s="61">
        <v>4.0</v>
      </c>
      <c r="F17" s="62">
        <v>8.0</v>
      </c>
      <c r="G17" s="63" t="s">
        <v>19</v>
      </c>
      <c r="H17" s="64">
        <v>1815.0</v>
      </c>
      <c r="I17" s="30">
        <f t="shared" si="1"/>
        <v>56.71875</v>
      </c>
      <c r="J17" s="31" t="s">
        <v>20</v>
      </c>
      <c r="K17" s="32"/>
      <c r="L17" s="65"/>
      <c r="M17" s="53"/>
      <c r="N17" s="66"/>
      <c r="O17" s="54"/>
      <c r="P17" s="1"/>
      <c r="Q17" s="1"/>
      <c r="R17" s="1"/>
      <c r="S17" s="1"/>
      <c r="T17" s="2"/>
      <c r="U17" s="67" t="s">
        <v>57</v>
      </c>
      <c r="V17" s="38" t="s">
        <v>24</v>
      </c>
      <c r="W17" s="38">
        <v>99.5</v>
      </c>
      <c r="X17" s="40">
        <f t="shared" si="7"/>
        <v>3184</v>
      </c>
      <c r="Y17" s="39">
        <v>0.43</v>
      </c>
      <c r="Z17" s="40">
        <f t="shared" si="8"/>
        <v>56.715</v>
      </c>
      <c r="AA17" s="40">
        <f t="shared" si="9"/>
        <v>1815</v>
      </c>
      <c r="AB17" s="40">
        <f t="shared" si="2"/>
        <v>89</v>
      </c>
      <c r="AC17" s="38">
        <f t="shared" si="3"/>
        <v>2848</v>
      </c>
      <c r="AD17" s="39">
        <v>0.22</v>
      </c>
      <c r="AE17" s="38">
        <f t="shared" si="4"/>
        <v>69.39830508</v>
      </c>
      <c r="AF17" s="41">
        <f t="shared" si="5"/>
        <v>2221</v>
      </c>
      <c r="AG17" s="42">
        <v>81.89</v>
      </c>
      <c r="AH17" s="32"/>
    </row>
    <row r="18">
      <c r="A18" s="1"/>
      <c r="B18" s="23">
        <f t="shared" si="6"/>
        <v>14</v>
      </c>
      <c r="C18" s="59" t="s">
        <v>58</v>
      </c>
      <c r="D18" s="60"/>
      <c r="E18" s="61">
        <v>4.0</v>
      </c>
      <c r="F18" s="62">
        <v>8.0</v>
      </c>
      <c r="G18" s="63" t="s">
        <v>19</v>
      </c>
      <c r="H18" s="64">
        <v>2956.0</v>
      </c>
      <c r="I18" s="30">
        <f t="shared" si="1"/>
        <v>92.375</v>
      </c>
      <c r="J18" s="31" t="s">
        <v>20</v>
      </c>
      <c r="K18" s="32"/>
      <c r="L18" s="65"/>
      <c r="M18" s="53"/>
      <c r="N18" s="66"/>
      <c r="O18" s="54"/>
      <c r="P18" s="1"/>
      <c r="Q18" s="1"/>
      <c r="R18" s="1"/>
      <c r="S18" s="1"/>
      <c r="T18" s="2"/>
      <c r="U18" s="67" t="s">
        <v>59</v>
      </c>
      <c r="V18" s="38" t="s">
        <v>24</v>
      </c>
      <c r="W18" s="38">
        <v>162.06</v>
      </c>
      <c r="X18" s="40">
        <f t="shared" si="7"/>
        <v>5186</v>
      </c>
      <c r="Y18" s="39">
        <v>0.43</v>
      </c>
      <c r="Z18" s="40">
        <f t="shared" si="8"/>
        <v>92.3742</v>
      </c>
      <c r="AA18" s="40">
        <f t="shared" si="9"/>
        <v>2956</v>
      </c>
      <c r="AB18" s="40">
        <f t="shared" si="2"/>
        <v>144.96875</v>
      </c>
      <c r="AC18" s="38">
        <f t="shared" si="3"/>
        <v>4639</v>
      </c>
      <c r="AD18" s="39">
        <v>0.22</v>
      </c>
      <c r="AE18" s="38">
        <f t="shared" si="4"/>
        <v>113.0508475</v>
      </c>
      <c r="AF18" s="41">
        <f t="shared" si="5"/>
        <v>3618</v>
      </c>
      <c r="AG18" s="42">
        <v>133.4</v>
      </c>
      <c r="AH18" s="32"/>
    </row>
    <row r="19">
      <c r="A19" s="1"/>
      <c r="B19" s="23">
        <f t="shared" si="6"/>
        <v>15</v>
      </c>
      <c r="C19" s="69" t="s">
        <v>60</v>
      </c>
      <c r="D19" s="70"/>
      <c r="E19" s="71">
        <v>4.0</v>
      </c>
      <c r="F19" s="72">
        <v>8.0</v>
      </c>
      <c r="G19" s="73" t="s">
        <v>19</v>
      </c>
      <c r="H19" s="74">
        <v>501.0</v>
      </c>
      <c r="I19" s="30">
        <f t="shared" si="1"/>
        <v>15.65625</v>
      </c>
      <c r="J19" s="31" t="s">
        <v>20</v>
      </c>
      <c r="K19" s="32"/>
      <c r="L19" s="65"/>
      <c r="M19" s="53"/>
      <c r="N19" s="66"/>
      <c r="O19" s="54"/>
      <c r="P19" s="1"/>
      <c r="Q19" s="1"/>
      <c r="R19" s="1"/>
      <c r="S19" s="1"/>
      <c r="T19" s="2"/>
      <c r="U19" s="75" t="s">
        <v>61</v>
      </c>
      <c r="V19" s="38" t="s">
        <v>24</v>
      </c>
      <c r="W19" s="38">
        <v>27.44</v>
      </c>
      <c r="X19" s="40">
        <f t="shared" si="7"/>
        <v>879</v>
      </c>
      <c r="Y19" s="39">
        <v>0.43</v>
      </c>
      <c r="Z19" s="40">
        <f t="shared" si="8"/>
        <v>15.6408</v>
      </c>
      <c r="AA19" s="40">
        <f t="shared" si="9"/>
        <v>501</v>
      </c>
      <c r="AB19" s="40">
        <f t="shared" si="2"/>
        <v>21.9375</v>
      </c>
      <c r="AC19" s="38">
        <f t="shared" si="3"/>
        <v>702</v>
      </c>
      <c r="AD19" s="39">
        <v>0.22</v>
      </c>
      <c r="AE19" s="38">
        <f t="shared" si="4"/>
        <v>17.07627119</v>
      </c>
      <c r="AF19" s="41">
        <f t="shared" si="5"/>
        <v>547</v>
      </c>
      <c r="AG19" s="42">
        <v>20.15</v>
      </c>
      <c r="AH19" s="32"/>
    </row>
    <row r="20">
      <c r="A20" s="1"/>
      <c r="B20" s="23">
        <f t="shared" si="6"/>
        <v>16</v>
      </c>
      <c r="C20" s="69" t="s">
        <v>62</v>
      </c>
      <c r="D20" s="70"/>
      <c r="E20" s="71">
        <v>4.0</v>
      </c>
      <c r="F20" s="72">
        <v>8.0</v>
      </c>
      <c r="G20" s="73" t="s">
        <v>19</v>
      </c>
      <c r="H20" s="74">
        <v>809.0</v>
      </c>
      <c r="I20" s="30">
        <f t="shared" si="1"/>
        <v>25.28125</v>
      </c>
      <c r="J20" s="31" t="s">
        <v>20</v>
      </c>
      <c r="K20" s="32"/>
      <c r="L20" s="65"/>
      <c r="M20" s="53"/>
      <c r="N20" s="66"/>
      <c r="O20" s="54"/>
      <c r="P20" s="1"/>
      <c r="Q20" s="1"/>
      <c r="R20" s="1"/>
      <c r="S20" s="1"/>
      <c r="T20" s="2"/>
      <c r="U20" s="75" t="s">
        <v>63</v>
      </c>
      <c r="V20" s="38" t="s">
        <v>24</v>
      </c>
      <c r="W20" s="38">
        <v>44.32</v>
      </c>
      <c r="X20" s="40">
        <f t="shared" si="7"/>
        <v>1419</v>
      </c>
      <c r="Y20" s="39">
        <v>0.43</v>
      </c>
      <c r="Z20" s="40">
        <f t="shared" si="8"/>
        <v>25.2624</v>
      </c>
      <c r="AA20" s="40">
        <f t="shared" si="9"/>
        <v>809</v>
      </c>
      <c r="AB20" s="40">
        <f t="shared" si="2"/>
        <v>38.84375</v>
      </c>
      <c r="AC20" s="38">
        <f t="shared" si="3"/>
        <v>1243</v>
      </c>
      <c r="AD20" s="39">
        <v>0.22</v>
      </c>
      <c r="AE20" s="38">
        <f t="shared" si="4"/>
        <v>30.27118644</v>
      </c>
      <c r="AF20" s="41">
        <f t="shared" si="5"/>
        <v>969</v>
      </c>
      <c r="AG20" s="42">
        <v>35.72</v>
      </c>
      <c r="AH20" s="32"/>
    </row>
    <row r="21">
      <c r="A21" s="1"/>
      <c r="B21" s="23">
        <f t="shared" si="6"/>
        <v>17</v>
      </c>
      <c r="C21" s="69" t="s">
        <v>64</v>
      </c>
      <c r="D21" s="70"/>
      <c r="E21" s="71">
        <v>4.0</v>
      </c>
      <c r="F21" s="72">
        <v>8.0</v>
      </c>
      <c r="G21" s="73" t="s">
        <v>19</v>
      </c>
      <c r="H21" s="74">
        <v>1090.0</v>
      </c>
      <c r="I21" s="30">
        <f t="shared" si="1"/>
        <v>34.0625</v>
      </c>
      <c r="J21" s="31" t="s">
        <v>20</v>
      </c>
      <c r="K21" s="32"/>
      <c r="L21" s="65"/>
      <c r="M21" s="53"/>
      <c r="N21" s="66"/>
      <c r="O21" s="54"/>
      <c r="P21" s="1"/>
      <c r="Q21" s="1"/>
      <c r="R21" s="1"/>
      <c r="S21" s="1"/>
      <c r="T21" s="2"/>
      <c r="U21" s="75" t="s">
        <v>65</v>
      </c>
      <c r="V21" s="38" t="s">
        <v>24</v>
      </c>
      <c r="W21" s="38">
        <v>59.71</v>
      </c>
      <c r="X21" s="40">
        <f t="shared" si="7"/>
        <v>1911</v>
      </c>
      <c r="Y21" s="39">
        <v>0.43</v>
      </c>
      <c r="Z21" s="40">
        <f t="shared" si="8"/>
        <v>34.0347</v>
      </c>
      <c r="AA21" s="40">
        <f t="shared" si="9"/>
        <v>1090</v>
      </c>
      <c r="AB21" s="40">
        <f t="shared" si="2"/>
        <v>52.34375</v>
      </c>
      <c r="AC21" s="38">
        <f t="shared" si="3"/>
        <v>1675</v>
      </c>
      <c r="AD21" s="39">
        <v>0.22</v>
      </c>
      <c r="AE21" s="38">
        <f t="shared" si="4"/>
        <v>40.80508475</v>
      </c>
      <c r="AF21" s="41">
        <f t="shared" si="5"/>
        <v>1306</v>
      </c>
      <c r="AG21" s="42">
        <v>48.15</v>
      </c>
      <c r="AH21" s="32"/>
    </row>
    <row r="22">
      <c r="A22" s="1"/>
      <c r="B22" s="23">
        <f t="shared" si="6"/>
        <v>18</v>
      </c>
      <c r="C22" s="69" t="s">
        <v>66</v>
      </c>
      <c r="D22" s="70"/>
      <c r="E22" s="71">
        <v>4.0</v>
      </c>
      <c r="F22" s="72">
        <v>8.0</v>
      </c>
      <c r="G22" s="73" t="s">
        <v>19</v>
      </c>
      <c r="H22" s="74">
        <v>1657.0</v>
      </c>
      <c r="I22" s="30">
        <f t="shared" si="1"/>
        <v>51.78125</v>
      </c>
      <c r="J22" s="31" t="s">
        <v>20</v>
      </c>
      <c r="K22" s="32"/>
      <c r="L22" s="65"/>
      <c r="M22" s="53"/>
      <c r="N22" s="66"/>
      <c r="O22" s="54"/>
      <c r="P22" s="1"/>
      <c r="Q22" s="1"/>
      <c r="R22" s="1"/>
      <c r="S22" s="1"/>
      <c r="T22" s="2"/>
      <c r="U22" s="75" t="s">
        <v>67</v>
      </c>
      <c r="V22" s="38" t="s">
        <v>24</v>
      </c>
      <c r="W22" s="38">
        <v>90.81</v>
      </c>
      <c r="X22" s="40">
        <f t="shared" si="7"/>
        <v>2906</v>
      </c>
      <c r="Y22" s="39">
        <v>0.43</v>
      </c>
      <c r="Z22" s="40">
        <f t="shared" si="8"/>
        <v>51.7617</v>
      </c>
      <c r="AA22" s="40">
        <f t="shared" si="9"/>
        <v>1657</v>
      </c>
      <c r="AB22" s="40">
        <f t="shared" si="2"/>
        <v>79.625</v>
      </c>
      <c r="AC22" s="38">
        <f t="shared" si="3"/>
        <v>2548</v>
      </c>
      <c r="AD22" s="39">
        <v>0.22</v>
      </c>
      <c r="AE22" s="38">
        <f t="shared" si="4"/>
        <v>62.07627119</v>
      </c>
      <c r="AF22" s="41">
        <f t="shared" si="5"/>
        <v>1987</v>
      </c>
      <c r="AG22" s="42">
        <v>73.25</v>
      </c>
      <c r="AH22" s="32"/>
    </row>
    <row r="23">
      <c r="A23" s="1"/>
      <c r="B23" s="23">
        <f t="shared" si="6"/>
        <v>19</v>
      </c>
      <c r="C23" s="69" t="s">
        <v>68</v>
      </c>
      <c r="D23" s="70"/>
      <c r="E23" s="71">
        <v>4.0</v>
      </c>
      <c r="F23" s="72">
        <v>8.0</v>
      </c>
      <c r="G23" s="73" t="s">
        <v>19</v>
      </c>
      <c r="H23" s="74">
        <v>2104.0</v>
      </c>
      <c r="I23" s="30">
        <f t="shared" si="1"/>
        <v>65.75</v>
      </c>
      <c r="J23" s="31" t="s">
        <v>20</v>
      </c>
      <c r="K23" s="32"/>
      <c r="L23" s="65"/>
      <c r="M23" s="53"/>
      <c r="N23" s="66"/>
      <c r="O23" s="54"/>
      <c r="P23" s="1"/>
      <c r="Q23" s="1"/>
      <c r="R23" s="1"/>
      <c r="S23" s="1"/>
      <c r="T23" s="2"/>
      <c r="U23" s="75" t="s">
        <v>69</v>
      </c>
      <c r="V23" s="38" t="s">
        <v>24</v>
      </c>
      <c r="W23" s="38">
        <v>115.31</v>
      </c>
      <c r="X23" s="40">
        <f t="shared" si="7"/>
        <v>3690</v>
      </c>
      <c r="Y23" s="39">
        <v>0.43</v>
      </c>
      <c r="Z23" s="40">
        <f t="shared" si="8"/>
        <v>65.7267</v>
      </c>
      <c r="AA23" s="40">
        <f t="shared" si="9"/>
        <v>2104</v>
      </c>
      <c r="AB23" s="40">
        <f t="shared" si="2"/>
        <v>101.03125</v>
      </c>
      <c r="AC23" s="38">
        <f t="shared" si="3"/>
        <v>3233</v>
      </c>
      <c r="AD23" s="39">
        <v>0.22</v>
      </c>
      <c r="AE23" s="38">
        <f t="shared" si="4"/>
        <v>78.76271186</v>
      </c>
      <c r="AF23" s="41">
        <f t="shared" si="5"/>
        <v>2521</v>
      </c>
      <c r="AG23" s="42">
        <v>92.94</v>
      </c>
      <c r="AH23" s="32"/>
    </row>
    <row r="24">
      <c r="A24" s="1"/>
      <c r="B24" s="23">
        <f t="shared" si="6"/>
        <v>20</v>
      </c>
      <c r="C24" s="76" t="s">
        <v>70</v>
      </c>
      <c r="D24" s="77"/>
      <c r="E24" s="78">
        <v>4.0</v>
      </c>
      <c r="F24" s="79">
        <v>8.0</v>
      </c>
      <c r="G24" s="80" t="s">
        <v>19</v>
      </c>
      <c r="H24" s="81">
        <v>2468.0</v>
      </c>
      <c r="I24" s="30">
        <f t="shared" si="1"/>
        <v>77.125</v>
      </c>
      <c r="J24" s="31" t="s">
        <v>20</v>
      </c>
      <c r="K24" s="32"/>
      <c r="L24" s="65"/>
      <c r="M24" s="53"/>
      <c r="N24" s="66"/>
      <c r="O24" s="54"/>
      <c r="P24" s="1"/>
      <c r="Q24" s="1"/>
      <c r="R24" s="1"/>
      <c r="S24" s="1"/>
      <c r="T24" s="2"/>
      <c r="U24" s="82" t="s">
        <v>71</v>
      </c>
      <c r="V24" s="83" t="s">
        <v>24</v>
      </c>
      <c r="W24" s="83">
        <v>135.28</v>
      </c>
      <c r="X24" s="84">
        <f t="shared" si="7"/>
        <v>4329</v>
      </c>
      <c r="Y24" s="85">
        <v>0.43</v>
      </c>
      <c r="Z24" s="84">
        <f t="shared" si="8"/>
        <v>77.1096</v>
      </c>
      <c r="AA24" s="84">
        <f t="shared" si="9"/>
        <v>2468</v>
      </c>
      <c r="AB24" s="84">
        <f t="shared" si="2"/>
        <v>118.5</v>
      </c>
      <c r="AC24" s="83">
        <f t="shared" si="3"/>
        <v>3792</v>
      </c>
      <c r="AD24" s="85">
        <v>0.22</v>
      </c>
      <c r="AE24" s="83">
        <f t="shared" si="4"/>
        <v>92.39830508</v>
      </c>
      <c r="AF24" s="86">
        <f t="shared" si="5"/>
        <v>2957</v>
      </c>
      <c r="AG24" s="42">
        <v>109.03</v>
      </c>
      <c r="AH24" s="32"/>
    </row>
    <row r="25">
      <c r="A25" s="87"/>
      <c r="B25" s="88"/>
      <c r="C25" s="59"/>
      <c r="D25" s="60"/>
      <c r="E25" s="89"/>
      <c r="F25" s="90"/>
      <c r="G25" s="91"/>
      <c r="H25" s="92"/>
      <c r="I25" s="87"/>
      <c r="J25" s="93"/>
      <c r="K25" s="93"/>
      <c r="L25" s="94"/>
      <c r="M25" s="91"/>
      <c r="N25" s="91"/>
      <c r="O25" s="95"/>
      <c r="P25" s="87"/>
      <c r="Q25" s="87"/>
      <c r="R25" s="87"/>
      <c r="S25" s="87"/>
      <c r="T25" s="96"/>
      <c r="U25" s="97" t="s">
        <v>2</v>
      </c>
      <c r="V25" s="98"/>
      <c r="W25" s="99" t="s">
        <v>72</v>
      </c>
      <c r="X25" s="100"/>
      <c r="Y25" s="100"/>
      <c r="Z25" s="100"/>
      <c r="AA25" s="98"/>
      <c r="AB25" s="99" t="s">
        <v>73</v>
      </c>
      <c r="AC25" s="100"/>
      <c r="AD25" s="100"/>
      <c r="AE25" s="100"/>
      <c r="AF25" s="98"/>
      <c r="AG25" s="87"/>
      <c r="AH25" s="87"/>
    </row>
    <row r="26">
      <c r="A26" s="87"/>
      <c r="B26" s="88"/>
      <c r="C26" s="59"/>
      <c r="D26" s="60"/>
      <c r="E26" s="89"/>
      <c r="F26" s="90"/>
      <c r="G26" s="91"/>
      <c r="H26" s="92"/>
      <c r="I26" s="87"/>
      <c r="J26" s="93"/>
      <c r="K26" s="93"/>
      <c r="L26" s="94"/>
      <c r="M26" s="91"/>
      <c r="N26" s="91"/>
      <c r="O26" s="95"/>
      <c r="P26" s="87"/>
      <c r="Q26" s="87"/>
      <c r="R26" s="87"/>
      <c r="S26" s="87"/>
      <c r="T26" s="96"/>
      <c r="U26" s="101" t="s">
        <v>6</v>
      </c>
      <c r="V26" s="101" t="s">
        <v>11</v>
      </c>
      <c r="W26" s="101" t="s">
        <v>12</v>
      </c>
      <c r="X26" s="101" t="s">
        <v>74</v>
      </c>
      <c r="Y26" s="101" t="s">
        <v>14</v>
      </c>
      <c r="Z26" s="101" t="s">
        <v>75</v>
      </c>
      <c r="AA26" s="101" t="s">
        <v>16</v>
      </c>
      <c r="AB26" s="101" t="s">
        <v>12</v>
      </c>
      <c r="AC26" s="101" t="s">
        <v>74</v>
      </c>
      <c r="AD26" s="101" t="s">
        <v>14</v>
      </c>
      <c r="AE26" s="101" t="s">
        <v>75</v>
      </c>
      <c r="AF26" s="102" t="s">
        <v>16</v>
      </c>
      <c r="AG26" s="87"/>
      <c r="AH26" s="87"/>
    </row>
    <row r="27">
      <c r="A27" s="1"/>
      <c r="B27" s="23">
        <f>B24+1</f>
        <v>21</v>
      </c>
      <c r="C27" s="103" t="s">
        <v>76</v>
      </c>
      <c r="D27" s="104"/>
      <c r="E27" s="105">
        <v>4.0</v>
      </c>
      <c r="F27" s="106">
        <v>8.0</v>
      </c>
      <c r="G27" s="107" t="s">
        <v>19</v>
      </c>
      <c r="H27" s="108">
        <v>1088.0</v>
      </c>
      <c r="I27" s="109">
        <f t="shared" ref="I27:I48" si="10">H27/(E27*F27)</f>
        <v>34</v>
      </c>
      <c r="J27" s="31" t="s">
        <v>20</v>
      </c>
      <c r="K27" s="32"/>
      <c r="L27" s="65"/>
      <c r="M27" s="53"/>
      <c r="N27" s="66"/>
      <c r="O27" s="54"/>
      <c r="P27" s="1"/>
      <c r="Q27" s="1"/>
      <c r="R27" s="1"/>
      <c r="S27" s="1"/>
      <c r="T27" s="2"/>
      <c r="U27" s="110" t="s">
        <v>77</v>
      </c>
      <c r="V27" s="111" t="s">
        <v>24</v>
      </c>
      <c r="W27" s="112">
        <v>48.0</v>
      </c>
      <c r="X27" s="113">
        <f t="shared" ref="X27:X42" si="11">W27*32</f>
        <v>1536</v>
      </c>
      <c r="Y27" s="113">
        <v>0.1</v>
      </c>
      <c r="Z27" s="112">
        <f t="shared" ref="Z27:Z42" si="12">roundup(W27*(1-Y27)/1.18,0)</f>
        <v>37</v>
      </c>
      <c r="AA27" s="114">
        <f t="shared" ref="AA27:AA42" si="13">Z27*32</f>
        <v>1184</v>
      </c>
      <c r="AB27" s="112">
        <v>41.0</v>
      </c>
      <c r="AC27" s="115">
        <f t="shared" ref="AC27:AC42" si="14">AB27*32</f>
        <v>1312</v>
      </c>
      <c r="AD27" s="115">
        <v>0.025</v>
      </c>
      <c r="AE27" s="112">
        <f t="shared" ref="AE27:AE42" si="15">roundup(AB27*(1-AD27)/1.18,0)</f>
        <v>34</v>
      </c>
      <c r="AF27" s="116">
        <f t="shared" ref="AF27:AF42" si="16">AE27*32</f>
        <v>1088</v>
      </c>
      <c r="AG27" s="117">
        <v>41.0</v>
      </c>
      <c r="AH27" s="1"/>
    </row>
    <row r="28">
      <c r="A28" s="1"/>
      <c r="B28" s="23">
        <f t="shared" ref="B28:B64" si="17">B27+1</f>
        <v>22</v>
      </c>
      <c r="C28" s="103" t="s">
        <v>78</v>
      </c>
      <c r="D28" s="104"/>
      <c r="E28" s="105">
        <v>4.0</v>
      </c>
      <c r="F28" s="106">
        <v>8.0</v>
      </c>
      <c r="G28" s="107" t="s">
        <v>19</v>
      </c>
      <c r="H28" s="108">
        <v>1376.0</v>
      </c>
      <c r="I28" s="109">
        <f t="shared" si="10"/>
        <v>43</v>
      </c>
      <c r="J28" s="31" t="s">
        <v>20</v>
      </c>
      <c r="K28" s="32"/>
      <c r="L28" s="65"/>
      <c r="M28" s="53"/>
      <c r="N28" s="66"/>
      <c r="O28" s="54"/>
      <c r="P28" s="1"/>
      <c r="Q28" s="1"/>
      <c r="R28" s="1"/>
      <c r="S28" s="1"/>
      <c r="T28" s="2"/>
      <c r="U28" s="118" t="s">
        <v>79</v>
      </c>
      <c r="V28" s="38" t="s">
        <v>24</v>
      </c>
      <c r="W28" s="119">
        <v>57.0</v>
      </c>
      <c r="X28" s="113">
        <f t="shared" si="11"/>
        <v>1824</v>
      </c>
      <c r="Y28" s="113">
        <v>0.1</v>
      </c>
      <c r="Z28" s="112">
        <f t="shared" si="12"/>
        <v>44</v>
      </c>
      <c r="AA28" s="114">
        <f t="shared" si="13"/>
        <v>1408</v>
      </c>
      <c r="AB28" s="119">
        <v>51.0</v>
      </c>
      <c r="AC28" s="115">
        <f t="shared" si="14"/>
        <v>1632</v>
      </c>
      <c r="AD28" s="115">
        <v>0.025</v>
      </c>
      <c r="AE28" s="112">
        <f t="shared" si="15"/>
        <v>43</v>
      </c>
      <c r="AF28" s="116">
        <f t="shared" si="16"/>
        <v>1376</v>
      </c>
      <c r="AG28" s="120">
        <v>51.0</v>
      </c>
      <c r="AH28" s="1"/>
    </row>
    <row r="29">
      <c r="A29" s="1"/>
      <c r="B29" s="23">
        <f t="shared" si="17"/>
        <v>23</v>
      </c>
      <c r="C29" s="103" t="s">
        <v>80</v>
      </c>
      <c r="D29" s="104"/>
      <c r="E29" s="105">
        <v>4.0</v>
      </c>
      <c r="F29" s="106">
        <v>8.0</v>
      </c>
      <c r="G29" s="107" t="s">
        <v>19</v>
      </c>
      <c r="H29" s="108">
        <v>1568.0</v>
      </c>
      <c r="I29" s="109">
        <f t="shared" si="10"/>
        <v>49</v>
      </c>
      <c r="J29" s="31" t="s">
        <v>20</v>
      </c>
      <c r="K29" s="32"/>
      <c r="L29" s="121"/>
      <c r="M29" s="122"/>
      <c r="N29" s="123"/>
      <c r="O29" s="124"/>
      <c r="P29" s="1"/>
      <c r="Q29" s="1"/>
      <c r="R29" s="1"/>
      <c r="S29" s="1"/>
      <c r="T29" s="2"/>
      <c r="U29" s="118" t="s">
        <v>81</v>
      </c>
      <c r="V29" s="38" t="s">
        <v>24</v>
      </c>
      <c r="W29" s="119">
        <v>69.0</v>
      </c>
      <c r="X29" s="113">
        <f t="shared" si="11"/>
        <v>2208</v>
      </c>
      <c r="Y29" s="113">
        <v>0.1</v>
      </c>
      <c r="Z29" s="112">
        <f t="shared" si="12"/>
        <v>53</v>
      </c>
      <c r="AA29" s="114">
        <f t="shared" si="13"/>
        <v>1696</v>
      </c>
      <c r="AB29" s="119">
        <v>59.0</v>
      </c>
      <c r="AC29" s="115">
        <f t="shared" si="14"/>
        <v>1888</v>
      </c>
      <c r="AD29" s="115">
        <v>0.025</v>
      </c>
      <c r="AE29" s="112">
        <f t="shared" si="15"/>
        <v>49</v>
      </c>
      <c r="AF29" s="116">
        <f t="shared" si="16"/>
        <v>1568</v>
      </c>
      <c r="AG29" s="120">
        <v>59.0</v>
      </c>
      <c r="AH29" s="1"/>
    </row>
    <row r="30">
      <c r="A30" s="1"/>
      <c r="B30" s="23">
        <f t="shared" si="17"/>
        <v>24</v>
      </c>
      <c r="C30" s="103" t="s">
        <v>82</v>
      </c>
      <c r="D30" s="104"/>
      <c r="E30" s="105">
        <v>4.0</v>
      </c>
      <c r="F30" s="106">
        <v>8.0</v>
      </c>
      <c r="G30" s="107" t="s">
        <v>19</v>
      </c>
      <c r="H30" s="108">
        <v>1984.0</v>
      </c>
      <c r="I30" s="109">
        <f t="shared" si="10"/>
        <v>62</v>
      </c>
      <c r="J30" s="31" t="s">
        <v>20</v>
      </c>
      <c r="K30" s="32"/>
      <c r="L30" s="1"/>
      <c r="M30" s="1"/>
      <c r="N30" s="1"/>
      <c r="O30" s="1"/>
      <c r="P30" s="1"/>
      <c r="Q30" s="1"/>
      <c r="R30" s="1"/>
      <c r="S30" s="1"/>
      <c r="T30" s="2"/>
      <c r="U30" s="118" t="s">
        <v>83</v>
      </c>
      <c r="V30" s="38" t="s">
        <v>24</v>
      </c>
      <c r="W30" s="49"/>
      <c r="X30" s="113">
        <f t="shared" si="11"/>
        <v>0</v>
      </c>
      <c r="Y30" s="113">
        <v>0.1</v>
      </c>
      <c r="Z30" s="112">
        <f t="shared" si="12"/>
        <v>0</v>
      </c>
      <c r="AA30" s="114">
        <f t="shared" si="13"/>
        <v>0</v>
      </c>
      <c r="AB30" s="119">
        <v>75.0</v>
      </c>
      <c r="AC30" s="115">
        <f t="shared" si="14"/>
        <v>2400</v>
      </c>
      <c r="AD30" s="115">
        <v>0.025</v>
      </c>
      <c r="AE30" s="112">
        <f t="shared" si="15"/>
        <v>62</v>
      </c>
      <c r="AF30" s="116">
        <f t="shared" si="16"/>
        <v>1984</v>
      </c>
      <c r="AG30" s="120">
        <v>75.0</v>
      </c>
      <c r="AH30" s="1"/>
    </row>
    <row r="31">
      <c r="A31" s="1"/>
      <c r="B31" s="23">
        <f t="shared" si="17"/>
        <v>25</v>
      </c>
      <c r="C31" s="103" t="s">
        <v>84</v>
      </c>
      <c r="D31" s="104"/>
      <c r="E31" s="105">
        <v>4.0</v>
      </c>
      <c r="F31" s="106">
        <v>8.0</v>
      </c>
      <c r="G31" s="107" t="s">
        <v>19</v>
      </c>
      <c r="H31" s="108">
        <v>2336.0</v>
      </c>
      <c r="I31" s="109">
        <f t="shared" si="10"/>
        <v>73</v>
      </c>
      <c r="J31" s="31" t="s">
        <v>20</v>
      </c>
      <c r="K31" s="32"/>
      <c r="L31" s="1"/>
      <c r="M31" s="1"/>
      <c r="N31" s="1"/>
      <c r="O31" s="1"/>
      <c r="P31" s="1"/>
      <c r="Q31" s="1"/>
      <c r="R31" s="1"/>
      <c r="S31" s="1"/>
      <c r="T31" s="2"/>
      <c r="U31" s="118" t="s">
        <v>85</v>
      </c>
      <c r="V31" s="38" t="s">
        <v>24</v>
      </c>
      <c r="W31" s="119">
        <v>94.0</v>
      </c>
      <c r="X31" s="113">
        <f t="shared" si="11"/>
        <v>3008</v>
      </c>
      <c r="Y31" s="113">
        <v>0.1</v>
      </c>
      <c r="Z31" s="112">
        <f t="shared" si="12"/>
        <v>72</v>
      </c>
      <c r="AA31" s="114">
        <f t="shared" si="13"/>
        <v>2304</v>
      </c>
      <c r="AB31" s="119">
        <v>88.0</v>
      </c>
      <c r="AC31" s="115">
        <f t="shared" si="14"/>
        <v>2816</v>
      </c>
      <c r="AD31" s="115">
        <v>0.025</v>
      </c>
      <c r="AE31" s="112">
        <f t="shared" si="15"/>
        <v>73</v>
      </c>
      <c r="AF31" s="116">
        <f t="shared" si="16"/>
        <v>2336</v>
      </c>
      <c r="AG31" s="120">
        <v>88.0</v>
      </c>
      <c r="AH31" s="1"/>
    </row>
    <row r="32">
      <c r="A32" s="1"/>
      <c r="B32" s="23">
        <f t="shared" si="17"/>
        <v>26</v>
      </c>
      <c r="C32" s="103" t="s">
        <v>86</v>
      </c>
      <c r="D32" s="104"/>
      <c r="E32" s="105">
        <v>4.0</v>
      </c>
      <c r="F32" s="106">
        <v>8.0</v>
      </c>
      <c r="G32" s="107" t="s">
        <v>19</v>
      </c>
      <c r="H32" s="108">
        <v>3200.0</v>
      </c>
      <c r="I32" s="109">
        <f t="shared" si="10"/>
        <v>100</v>
      </c>
      <c r="J32" s="31" t="s">
        <v>20</v>
      </c>
      <c r="K32" s="32"/>
      <c r="L32" s="1"/>
      <c r="M32" s="1"/>
      <c r="N32" s="125"/>
      <c r="O32" s="125"/>
      <c r="P32" s="125"/>
      <c r="Q32" s="125"/>
      <c r="R32" s="125"/>
      <c r="S32" s="1"/>
      <c r="T32" s="2"/>
      <c r="U32" s="118" t="s">
        <v>87</v>
      </c>
      <c r="V32" s="38" t="s">
        <v>24</v>
      </c>
      <c r="W32" s="49"/>
      <c r="X32" s="113">
        <f t="shared" si="11"/>
        <v>0</v>
      </c>
      <c r="Y32" s="113">
        <v>0.1</v>
      </c>
      <c r="Z32" s="112">
        <f t="shared" si="12"/>
        <v>0</v>
      </c>
      <c r="AA32" s="114">
        <f t="shared" si="13"/>
        <v>0</v>
      </c>
      <c r="AB32" s="119">
        <v>0.0</v>
      </c>
      <c r="AC32" s="115">
        <f t="shared" si="14"/>
        <v>0</v>
      </c>
      <c r="AD32" s="115">
        <v>0.025</v>
      </c>
      <c r="AE32" s="112">
        <f t="shared" si="15"/>
        <v>0</v>
      </c>
      <c r="AF32" s="116">
        <f t="shared" si="16"/>
        <v>0</v>
      </c>
      <c r="AG32" s="120">
        <v>0.0</v>
      </c>
      <c r="AH32" s="1"/>
    </row>
    <row r="33">
      <c r="A33" s="1"/>
      <c r="B33" s="23">
        <f t="shared" si="17"/>
        <v>27</v>
      </c>
      <c r="C33" s="126" t="s">
        <v>88</v>
      </c>
      <c r="D33" s="127"/>
      <c r="E33" s="128">
        <v>4.0</v>
      </c>
      <c r="F33" s="129">
        <v>8.0</v>
      </c>
      <c r="G33" s="130" t="s">
        <v>19</v>
      </c>
      <c r="H33" s="131">
        <v>1294.0</v>
      </c>
      <c r="I33" s="109">
        <f t="shared" si="10"/>
        <v>40.4375</v>
      </c>
      <c r="J33" s="31" t="s">
        <v>20</v>
      </c>
      <c r="K33" s="32"/>
      <c r="L33" s="1"/>
      <c r="M33" s="1"/>
      <c r="N33" s="125"/>
      <c r="O33" s="125"/>
      <c r="P33" s="125"/>
      <c r="Q33" s="125"/>
      <c r="R33" s="125"/>
      <c r="S33" s="1"/>
      <c r="T33" s="2"/>
      <c r="U33" s="67" t="s">
        <v>89</v>
      </c>
      <c r="V33" s="38" t="s">
        <v>24</v>
      </c>
      <c r="W33" s="49"/>
      <c r="X33" s="113">
        <f t="shared" si="11"/>
        <v>0</v>
      </c>
      <c r="Y33" s="113">
        <v>0.1</v>
      </c>
      <c r="Z33" s="112">
        <f t="shared" si="12"/>
        <v>0</v>
      </c>
      <c r="AA33" s="114">
        <f t="shared" si="13"/>
        <v>0</v>
      </c>
      <c r="AB33" s="49"/>
      <c r="AC33" s="115">
        <f t="shared" si="14"/>
        <v>0</v>
      </c>
      <c r="AD33" s="115">
        <v>0.025</v>
      </c>
      <c r="AE33" s="112">
        <f t="shared" si="15"/>
        <v>0</v>
      </c>
      <c r="AF33" s="132">
        <f t="shared" si="16"/>
        <v>0</v>
      </c>
      <c r="AG33" s="1"/>
      <c r="AH33" s="1"/>
    </row>
    <row r="34">
      <c r="A34" s="1"/>
      <c r="B34" s="23">
        <f t="shared" si="17"/>
        <v>28</v>
      </c>
      <c r="C34" s="126" t="s">
        <v>90</v>
      </c>
      <c r="D34" s="127"/>
      <c r="E34" s="128">
        <v>4.0</v>
      </c>
      <c r="F34" s="129">
        <v>8.0</v>
      </c>
      <c r="G34" s="130" t="s">
        <v>19</v>
      </c>
      <c r="H34" s="131">
        <v>1570.0</v>
      </c>
      <c r="I34" s="109">
        <f t="shared" si="10"/>
        <v>49.0625</v>
      </c>
      <c r="J34" s="31" t="s">
        <v>20</v>
      </c>
      <c r="K34" s="32"/>
      <c r="L34" s="1"/>
      <c r="M34" s="1"/>
      <c r="N34" s="1"/>
      <c r="O34" s="1"/>
      <c r="P34" s="1"/>
      <c r="Q34" s="1"/>
      <c r="R34" s="1"/>
      <c r="S34" s="1"/>
      <c r="T34" s="2"/>
      <c r="U34" s="67" t="s">
        <v>91</v>
      </c>
      <c r="V34" s="38" t="s">
        <v>24</v>
      </c>
      <c r="W34" s="49"/>
      <c r="X34" s="113">
        <f t="shared" si="11"/>
        <v>0</v>
      </c>
      <c r="Y34" s="113">
        <v>0.1</v>
      </c>
      <c r="Z34" s="112">
        <f t="shared" si="12"/>
        <v>0</v>
      </c>
      <c r="AA34" s="114">
        <f t="shared" si="13"/>
        <v>0</v>
      </c>
      <c r="AB34" s="49"/>
      <c r="AC34" s="115">
        <f t="shared" si="14"/>
        <v>0</v>
      </c>
      <c r="AD34" s="115">
        <v>0.025</v>
      </c>
      <c r="AE34" s="112">
        <f t="shared" si="15"/>
        <v>0</v>
      </c>
      <c r="AF34" s="132">
        <f t="shared" si="16"/>
        <v>0</v>
      </c>
      <c r="AG34" s="1"/>
      <c r="AH34" s="1"/>
    </row>
    <row r="35">
      <c r="A35" s="1"/>
      <c r="B35" s="23">
        <f t="shared" si="17"/>
        <v>29</v>
      </c>
      <c r="C35" s="126" t="s">
        <v>92</v>
      </c>
      <c r="D35" s="127"/>
      <c r="E35" s="128">
        <v>4.0</v>
      </c>
      <c r="F35" s="129">
        <v>8.0</v>
      </c>
      <c r="G35" s="130" t="s">
        <v>19</v>
      </c>
      <c r="H35" s="131">
        <v>1994.0</v>
      </c>
      <c r="I35" s="109">
        <f t="shared" si="10"/>
        <v>62.3125</v>
      </c>
      <c r="J35" s="31" t="s">
        <v>20</v>
      </c>
      <c r="K35" s="32"/>
      <c r="L35" s="1"/>
      <c r="M35" s="87"/>
      <c r="N35" s="1"/>
      <c r="O35" s="1"/>
      <c r="P35" s="1"/>
      <c r="Q35" s="1"/>
      <c r="R35" s="1"/>
      <c r="S35" s="1"/>
      <c r="T35" s="2"/>
      <c r="U35" s="67" t="s">
        <v>93</v>
      </c>
      <c r="V35" s="38" t="s">
        <v>24</v>
      </c>
      <c r="W35" s="49"/>
      <c r="X35" s="113">
        <f t="shared" si="11"/>
        <v>0</v>
      </c>
      <c r="Y35" s="113">
        <v>0.1</v>
      </c>
      <c r="Z35" s="112">
        <f t="shared" si="12"/>
        <v>0</v>
      </c>
      <c r="AA35" s="114">
        <f t="shared" si="13"/>
        <v>0</v>
      </c>
      <c r="AB35" s="49"/>
      <c r="AC35" s="115">
        <f t="shared" si="14"/>
        <v>0</v>
      </c>
      <c r="AD35" s="115">
        <v>0.025</v>
      </c>
      <c r="AE35" s="112">
        <f t="shared" si="15"/>
        <v>0</v>
      </c>
      <c r="AF35" s="132">
        <f t="shared" si="16"/>
        <v>0</v>
      </c>
      <c r="AG35" s="1"/>
      <c r="AH35" s="1"/>
    </row>
    <row r="36">
      <c r="A36" s="1"/>
      <c r="B36" s="23">
        <f t="shared" si="17"/>
        <v>30</v>
      </c>
      <c r="C36" s="126" t="s">
        <v>94</v>
      </c>
      <c r="D36" s="127"/>
      <c r="E36" s="128">
        <v>4.0</v>
      </c>
      <c r="F36" s="129">
        <v>8.0</v>
      </c>
      <c r="G36" s="130" t="s">
        <v>19</v>
      </c>
      <c r="H36" s="131">
        <v>2520.0</v>
      </c>
      <c r="I36" s="109">
        <f t="shared" si="10"/>
        <v>78.75</v>
      </c>
      <c r="J36" s="31" t="s">
        <v>20</v>
      </c>
      <c r="K36" s="32"/>
      <c r="L36" s="87"/>
      <c r="M36" s="87"/>
      <c r="N36" s="1"/>
      <c r="O36" s="1"/>
      <c r="P36" s="1"/>
      <c r="Q36" s="1"/>
      <c r="R36" s="1"/>
      <c r="S36" s="1"/>
      <c r="T36" s="2"/>
      <c r="U36" s="67" t="s">
        <v>95</v>
      </c>
      <c r="V36" s="38" t="s">
        <v>24</v>
      </c>
      <c r="W36" s="49"/>
      <c r="X36" s="113">
        <f t="shared" si="11"/>
        <v>0</v>
      </c>
      <c r="Y36" s="113">
        <v>0.1</v>
      </c>
      <c r="Z36" s="112">
        <f t="shared" si="12"/>
        <v>0</v>
      </c>
      <c r="AA36" s="114">
        <f t="shared" si="13"/>
        <v>0</v>
      </c>
      <c r="AB36" s="49"/>
      <c r="AC36" s="115">
        <f t="shared" si="14"/>
        <v>0</v>
      </c>
      <c r="AD36" s="115">
        <v>0.025</v>
      </c>
      <c r="AE36" s="112">
        <f t="shared" si="15"/>
        <v>0</v>
      </c>
      <c r="AF36" s="132">
        <f t="shared" si="16"/>
        <v>0</v>
      </c>
      <c r="AG36" s="1"/>
      <c r="AH36" s="1"/>
    </row>
    <row r="37">
      <c r="A37" s="1"/>
      <c r="B37" s="23">
        <f t="shared" si="17"/>
        <v>31</v>
      </c>
      <c r="C37" s="126" t="s">
        <v>96</v>
      </c>
      <c r="D37" s="127"/>
      <c r="E37" s="128">
        <v>4.0</v>
      </c>
      <c r="F37" s="129">
        <v>8.0</v>
      </c>
      <c r="G37" s="130" t="s">
        <v>19</v>
      </c>
      <c r="H37" s="131">
        <v>2907.0</v>
      </c>
      <c r="I37" s="109">
        <f t="shared" si="10"/>
        <v>90.84375</v>
      </c>
      <c r="J37" s="31" t="s">
        <v>20</v>
      </c>
      <c r="K37" s="32"/>
      <c r="L37" s="87"/>
      <c r="M37" s="87"/>
      <c r="N37" s="133"/>
      <c r="O37" s="1"/>
      <c r="P37" s="1"/>
      <c r="Q37" s="1"/>
      <c r="R37" s="1"/>
      <c r="S37" s="1"/>
      <c r="T37" s="2"/>
      <c r="U37" s="67" t="s">
        <v>97</v>
      </c>
      <c r="V37" s="38" t="s">
        <v>24</v>
      </c>
      <c r="W37" s="49"/>
      <c r="X37" s="113">
        <f t="shared" si="11"/>
        <v>0</v>
      </c>
      <c r="Y37" s="113">
        <v>0.1</v>
      </c>
      <c r="Z37" s="112">
        <f t="shared" si="12"/>
        <v>0</v>
      </c>
      <c r="AA37" s="114">
        <f t="shared" si="13"/>
        <v>0</v>
      </c>
      <c r="AB37" s="49"/>
      <c r="AC37" s="115">
        <f t="shared" si="14"/>
        <v>0</v>
      </c>
      <c r="AD37" s="115">
        <v>0.025</v>
      </c>
      <c r="AE37" s="112">
        <f t="shared" si="15"/>
        <v>0</v>
      </c>
      <c r="AF37" s="132">
        <f t="shared" si="16"/>
        <v>0</v>
      </c>
      <c r="AG37" s="1"/>
      <c r="AH37" s="1"/>
    </row>
    <row r="38">
      <c r="A38" s="1"/>
      <c r="B38" s="23">
        <f t="shared" si="17"/>
        <v>32</v>
      </c>
      <c r="C38" s="134" t="s">
        <v>98</v>
      </c>
      <c r="D38" s="135"/>
      <c r="E38" s="136">
        <v>4.0</v>
      </c>
      <c r="F38" s="137">
        <v>8.0</v>
      </c>
      <c r="G38" s="138" t="s">
        <v>19</v>
      </c>
      <c r="H38" s="139">
        <v>1344.0</v>
      </c>
      <c r="I38" s="109">
        <f t="shared" si="10"/>
        <v>42</v>
      </c>
      <c r="J38" s="31" t="s">
        <v>20</v>
      </c>
      <c r="K38" s="32"/>
      <c r="L38" s="87"/>
      <c r="M38" s="140"/>
      <c r="N38" s="141"/>
      <c r="O38" s="1"/>
      <c r="P38" s="1"/>
      <c r="Q38" s="1"/>
      <c r="R38" s="1"/>
      <c r="S38" s="1"/>
      <c r="T38" s="2"/>
      <c r="U38" s="142" t="s">
        <v>99</v>
      </c>
      <c r="V38" s="38" t="s">
        <v>24</v>
      </c>
      <c r="W38" s="119">
        <v>62.0</v>
      </c>
      <c r="X38" s="113">
        <f t="shared" si="11"/>
        <v>1984</v>
      </c>
      <c r="Y38" s="113">
        <v>0.1</v>
      </c>
      <c r="Z38" s="112">
        <f t="shared" si="12"/>
        <v>48</v>
      </c>
      <c r="AA38" s="114">
        <f t="shared" si="13"/>
        <v>1536</v>
      </c>
      <c r="AB38" s="119">
        <v>50.0</v>
      </c>
      <c r="AC38" s="115">
        <f t="shared" si="14"/>
        <v>1600</v>
      </c>
      <c r="AD38" s="115">
        <v>0.025</v>
      </c>
      <c r="AE38" s="112">
        <f t="shared" si="15"/>
        <v>42</v>
      </c>
      <c r="AF38" s="132">
        <f t="shared" si="16"/>
        <v>1344</v>
      </c>
      <c r="AG38" s="1"/>
      <c r="AH38" s="1"/>
    </row>
    <row r="39">
      <c r="A39" s="1"/>
      <c r="B39" s="23">
        <f t="shared" si="17"/>
        <v>33</v>
      </c>
      <c r="C39" s="134" t="s">
        <v>100</v>
      </c>
      <c r="D39" s="135"/>
      <c r="E39" s="136">
        <v>4.0</v>
      </c>
      <c r="F39" s="137">
        <v>8.0</v>
      </c>
      <c r="G39" s="138" t="s">
        <v>19</v>
      </c>
      <c r="H39" s="139">
        <v>1632.0</v>
      </c>
      <c r="I39" s="109">
        <f t="shared" si="10"/>
        <v>51</v>
      </c>
      <c r="J39" s="31" t="s">
        <v>20</v>
      </c>
      <c r="K39" s="32"/>
      <c r="L39" s="87"/>
      <c r="M39" s="1"/>
      <c r="N39" s="1"/>
      <c r="O39" s="1"/>
      <c r="P39" s="1"/>
      <c r="Q39" s="1"/>
      <c r="R39" s="1"/>
      <c r="S39" s="1"/>
      <c r="T39" s="2"/>
      <c r="U39" s="142" t="s">
        <v>101</v>
      </c>
      <c r="V39" s="38" t="s">
        <v>24</v>
      </c>
      <c r="W39" s="119">
        <v>74.0</v>
      </c>
      <c r="X39" s="113">
        <f t="shared" si="11"/>
        <v>2368</v>
      </c>
      <c r="Y39" s="113">
        <v>0.1</v>
      </c>
      <c r="Z39" s="112">
        <f t="shared" si="12"/>
        <v>57</v>
      </c>
      <c r="AA39" s="114">
        <f t="shared" si="13"/>
        <v>1824</v>
      </c>
      <c r="AB39" s="119">
        <v>61.0</v>
      </c>
      <c r="AC39" s="115">
        <f t="shared" si="14"/>
        <v>1952</v>
      </c>
      <c r="AD39" s="115">
        <v>0.025</v>
      </c>
      <c r="AE39" s="112">
        <f t="shared" si="15"/>
        <v>51</v>
      </c>
      <c r="AF39" s="132">
        <f t="shared" si="16"/>
        <v>1632</v>
      </c>
      <c r="AG39" s="1"/>
      <c r="AH39" s="1"/>
    </row>
    <row r="40">
      <c r="A40" s="1"/>
      <c r="B40" s="23">
        <f t="shared" si="17"/>
        <v>34</v>
      </c>
      <c r="C40" s="134" t="s">
        <v>102</v>
      </c>
      <c r="D40" s="135"/>
      <c r="E40" s="136">
        <v>4.0</v>
      </c>
      <c r="F40" s="137">
        <v>8.0</v>
      </c>
      <c r="G40" s="138" t="s">
        <v>19</v>
      </c>
      <c r="H40" s="139">
        <v>2016.0</v>
      </c>
      <c r="I40" s="109">
        <f t="shared" si="10"/>
        <v>63</v>
      </c>
      <c r="J40" s="31" t="s">
        <v>20</v>
      </c>
      <c r="K40" s="32"/>
      <c r="L40" s="87"/>
      <c r="M40" s="1"/>
      <c r="N40" s="1"/>
      <c r="O40" s="1"/>
      <c r="P40" s="1"/>
      <c r="Q40" s="125"/>
      <c r="R40" s="125"/>
      <c r="S40" s="125"/>
      <c r="T40" s="2"/>
      <c r="U40" s="142" t="s">
        <v>103</v>
      </c>
      <c r="V40" s="38" t="s">
        <v>24</v>
      </c>
      <c r="W40" s="119">
        <v>87.0</v>
      </c>
      <c r="X40" s="113">
        <f t="shared" si="11"/>
        <v>2784</v>
      </c>
      <c r="Y40" s="113">
        <v>0.1</v>
      </c>
      <c r="Z40" s="112">
        <f t="shared" si="12"/>
        <v>67</v>
      </c>
      <c r="AA40" s="114">
        <f t="shared" si="13"/>
        <v>2144</v>
      </c>
      <c r="AB40" s="119">
        <v>76.0</v>
      </c>
      <c r="AC40" s="115">
        <f t="shared" si="14"/>
        <v>2432</v>
      </c>
      <c r="AD40" s="115">
        <v>0.025</v>
      </c>
      <c r="AE40" s="112">
        <f t="shared" si="15"/>
        <v>63</v>
      </c>
      <c r="AF40" s="132">
        <f t="shared" si="16"/>
        <v>2016</v>
      </c>
      <c r="AG40" s="1"/>
      <c r="AH40" s="1"/>
    </row>
    <row r="41">
      <c r="A41" s="1"/>
      <c r="B41" s="23">
        <f t="shared" si="17"/>
        <v>35</v>
      </c>
      <c r="C41" s="134" t="s">
        <v>104</v>
      </c>
      <c r="D41" s="135"/>
      <c r="E41" s="136">
        <v>4.0</v>
      </c>
      <c r="F41" s="137">
        <v>8.0</v>
      </c>
      <c r="G41" s="138" t="s">
        <v>19</v>
      </c>
      <c r="H41" s="139">
        <v>2560.0</v>
      </c>
      <c r="I41" s="109">
        <f t="shared" si="10"/>
        <v>80</v>
      </c>
      <c r="J41" s="31" t="s">
        <v>20</v>
      </c>
      <c r="K41" s="32"/>
      <c r="L41" s="1"/>
      <c r="M41" s="1"/>
      <c r="N41" s="1"/>
      <c r="O41" s="1"/>
      <c r="P41" s="1"/>
      <c r="Q41" s="125"/>
      <c r="R41" s="125"/>
      <c r="S41" s="125"/>
      <c r="T41" s="2"/>
      <c r="U41" s="142" t="s">
        <v>105</v>
      </c>
      <c r="V41" s="38" t="s">
        <v>24</v>
      </c>
      <c r="W41" s="1"/>
      <c r="X41" s="113">
        <f t="shared" si="11"/>
        <v>0</v>
      </c>
      <c r="Y41" s="113">
        <v>0.1</v>
      </c>
      <c r="Z41" s="112">
        <f t="shared" si="12"/>
        <v>0</v>
      </c>
      <c r="AA41" s="114">
        <f t="shared" si="13"/>
        <v>0</v>
      </c>
      <c r="AB41" s="119">
        <v>96.0</v>
      </c>
      <c r="AC41" s="115">
        <f t="shared" si="14"/>
        <v>3072</v>
      </c>
      <c r="AD41" s="115">
        <v>0.025</v>
      </c>
      <c r="AE41" s="112">
        <f t="shared" si="15"/>
        <v>80</v>
      </c>
      <c r="AF41" s="132">
        <f t="shared" si="16"/>
        <v>2560</v>
      </c>
      <c r="AG41" s="1"/>
      <c r="AH41" s="1"/>
    </row>
    <row r="42">
      <c r="A42" s="1"/>
      <c r="B42" s="23">
        <f t="shared" si="17"/>
        <v>36</v>
      </c>
      <c r="C42" s="134" t="s">
        <v>106</v>
      </c>
      <c r="D42" s="135"/>
      <c r="E42" s="136">
        <v>4.0</v>
      </c>
      <c r="F42" s="137">
        <v>8.0</v>
      </c>
      <c r="G42" s="138" t="s">
        <v>19</v>
      </c>
      <c r="H42" s="139">
        <v>2976.0</v>
      </c>
      <c r="I42" s="109">
        <f t="shared" si="10"/>
        <v>93</v>
      </c>
      <c r="J42" s="31" t="s">
        <v>20</v>
      </c>
      <c r="K42" s="32"/>
      <c r="L42" s="1"/>
      <c r="M42" s="1"/>
      <c r="N42" s="1"/>
      <c r="O42" s="1"/>
      <c r="P42" s="1"/>
      <c r="Q42" s="125"/>
      <c r="R42" s="125"/>
      <c r="S42" s="1"/>
      <c r="T42" s="2"/>
      <c r="U42" s="143" t="s">
        <v>107</v>
      </c>
      <c r="V42" s="83" t="s">
        <v>24</v>
      </c>
      <c r="W42" s="144">
        <v>121.0</v>
      </c>
      <c r="X42" s="85">
        <f t="shared" si="11"/>
        <v>3872</v>
      </c>
      <c r="Y42" s="145">
        <v>0.1</v>
      </c>
      <c r="Z42" s="146">
        <f t="shared" si="12"/>
        <v>93</v>
      </c>
      <c r="AA42" s="146">
        <f t="shared" si="13"/>
        <v>2976</v>
      </c>
      <c r="AB42" s="144">
        <v>112.0</v>
      </c>
      <c r="AC42" s="147">
        <f t="shared" si="14"/>
        <v>3584</v>
      </c>
      <c r="AD42" s="148">
        <v>0.025</v>
      </c>
      <c r="AE42" s="146">
        <f t="shared" si="15"/>
        <v>93</v>
      </c>
      <c r="AF42" s="149">
        <f t="shared" si="16"/>
        <v>2976</v>
      </c>
      <c r="AG42" s="1"/>
      <c r="AH42" s="1"/>
    </row>
    <row r="43">
      <c r="A43" s="1"/>
      <c r="B43" s="23">
        <f t="shared" si="17"/>
        <v>37</v>
      </c>
      <c r="C43" s="150" t="s">
        <v>108</v>
      </c>
      <c r="D43" s="151"/>
      <c r="E43" s="152">
        <v>4.0</v>
      </c>
      <c r="F43" s="153">
        <v>8.0</v>
      </c>
      <c r="G43" s="154" t="s">
        <v>19</v>
      </c>
      <c r="H43" s="155">
        <v>3450.0</v>
      </c>
      <c r="I43" s="109">
        <f t="shared" si="10"/>
        <v>107.8125</v>
      </c>
      <c r="J43" s="31" t="s">
        <v>20</v>
      </c>
      <c r="K43" s="32"/>
      <c r="L43" s="8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>
      <c r="A44" s="1"/>
      <c r="B44" s="23">
        <f t="shared" si="17"/>
        <v>38</v>
      </c>
      <c r="C44" s="156" t="s">
        <v>109</v>
      </c>
      <c r="D44" s="157"/>
      <c r="E44" s="158">
        <v>4.0</v>
      </c>
      <c r="F44" s="159">
        <v>8.0</v>
      </c>
      <c r="G44" s="160" t="s">
        <v>19</v>
      </c>
      <c r="H44" s="161">
        <v>3450.0</v>
      </c>
      <c r="I44" s="109">
        <f t="shared" si="10"/>
        <v>107.8125</v>
      </c>
      <c r="J44" s="31" t="s">
        <v>20</v>
      </c>
      <c r="K44" s="32"/>
      <c r="L44" s="8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>
      <c r="A45" s="1"/>
      <c r="B45" s="23">
        <f t="shared" si="17"/>
        <v>39</v>
      </c>
      <c r="C45" s="162" t="s">
        <v>110</v>
      </c>
      <c r="D45" s="163"/>
      <c r="E45" s="164">
        <v>4.0</v>
      </c>
      <c r="F45" s="165">
        <v>8.0</v>
      </c>
      <c r="G45" s="166" t="s">
        <v>19</v>
      </c>
      <c r="H45" s="167">
        <v>1952.0</v>
      </c>
      <c r="I45" s="109">
        <f t="shared" si="10"/>
        <v>61</v>
      </c>
      <c r="J45" s="31" t="s">
        <v>20</v>
      </c>
      <c r="K45" s="32"/>
      <c r="L45" s="8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>
      <c r="A46" s="1"/>
      <c r="B46" s="23">
        <f t="shared" si="17"/>
        <v>40</v>
      </c>
      <c r="C46" s="162" t="s">
        <v>111</v>
      </c>
      <c r="D46" s="163"/>
      <c r="E46" s="164">
        <v>4.0</v>
      </c>
      <c r="F46" s="165">
        <v>8.0</v>
      </c>
      <c r="G46" s="166" t="s">
        <v>19</v>
      </c>
      <c r="H46" s="167">
        <v>2496.0</v>
      </c>
      <c r="I46" s="109">
        <f t="shared" si="10"/>
        <v>78</v>
      </c>
      <c r="J46" s="31" t="s">
        <v>20</v>
      </c>
      <c r="K46" s="32"/>
      <c r="L46" s="8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>
      <c r="A47" s="1"/>
      <c r="B47" s="23">
        <f t="shared" si="17"/>
        <v>41</v>
      </c>
      <c r="C47" s="162" t="s">
        <v>112</v>
      </c>
      <c r="D47" s="163"/>
      <c r="E47" s="164">
        <v>4.0</v>
      </c>
      <c r="F47" s="165">
        <v>8.0</v>
      </c>
      <c r="G47" s="166" t="s">
        <v>19</v>
      </c>
      <c r="H47" s="168">
        <v>3776.0</v>
      </c>
      <c r="I47" s="109">
        <f t="shared" si="10"/>
        <v>118</v>
      </c>
      <c r="J47" s="31" t="s">
        <v>20</v>
      </c>
      <c r="K47" s="32"/>
      <c r="L47" s="8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>
      <c r="A48" s="1"/>
      <c r="B48" s="23">
        <f t="shared" si="17"/>
        <v>42</v>
      </c>
      <c r="C48" s="169" t="s">
        <v>113</v>
      </c>
      <c r="D48" s="169"/>
      <c r="E48" s="170">
        <v>3.0</v>
      </c>
      <c r="F48" s="171">
        <v>7.0</v>
      </c>
      <c r="G48" s="172" t="s">
        <v>19</v>
      </c>
      <c r="H48" s="173">
        <f>60*21</f>
        <v>1260</v>
      </c>
      <c r="I48" s="109">
        <f t="shared" si="10"/>
        <v>60</v>
      </c>
      <c r="J48" s="31" t="s">
        <v>20</v>
      </c>
      <c r="K48" s="32"/>
      <c r="L48" s="8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>
      <c r="A49" s="1"/>
      <c r="B49" s="23">
        <f t="shared" si="17"/>
        <v>43</v>
      </c>
      <c r="C49" s="174" t="s">
        <v>114</v>
      </c>
      <c r="D49" s="169"/>
      <c r="E49" s="170">
        <v>4.0</v>
      </c>
      <c r="F49" s="171">
        <v>8.0</v>
      </c>
      <c r="G49" s="172" t="s">
        <v>19</v>
      </c>
      <c r="H49" s="175">
        <v>750.0</v>
      </c>
      <c r="I49" s="109">
        <f t="shared" ref="I49:I52" si="18">roundup(H49/(E49*F49),)</f>
        <v>24</v>
      </c>
      <c r="J49" s="31" t="s">
        <v>20</v>
      </c>
      <c r="K49" s="32"/>
      <c r="L49" s="87"/>
      <c r="M49" s="87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>
      <c r="A50" s="1"/>
      <c r="B50" s="23">
        <f t="shared" si="17"/>
        <v>44</v>
      </c>
      <c r="C50" s="174" t="s">
        <v>115</v>
      </c>
      <c r="D50" s="169"/>
      <c r="E50" s="170">
        <v>4.0</v>
      </c>
      <c r="F50" s="171">
        <v>8.0</v>
      </c>
      <c r="G50" s="172" t="s">
        <v>19</v>
      </c>
      <c r="H50" s="175">
        <v>900.0</v>
      </c>
      <c r="I50" s="109">
        <f t="shared" si="18"/>
        <v>29</v>
      </c>
      <c r="J50" s="31" t="s">
        <v>20</v>
      </c>
      <c r="K50" s="32"/>
      <c r="L50" s="87"/>
      <c r="M50" s="87"/>
      <c r="N50" s="96"/>
      <c r="O50" s="87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>
      <c r="A51" s="1"/>
      <c r="B51" s="23">
        <f t="shared" si="17"/>
        <v>45</v>
      </c>
      <c r="C51" s="174" t="s">
        <v>116</v>
      </c>
      <c r="D51" s="169"/>
      <c r="E51" s="170">
        <v>4.0</v>
      </c>
      <c r="F51" s="171">
        <v>8.0</v>
      </c>
      <c r="G51" s="172" t="s">
        <v>19</v>
      </c>
      <c r="H51" s="175">
        <v>1500.0</v>
      </c>
      <c r="I51" s="109">
        <f t="shared" si="18"/>
        <v>47</v>
      </c>
      <c r="J51" s="31" t="s">
        <v>20</v>
      </c>
      <c r="K51" s="32"/>
      <c r="L51" s="87"/>
      <c r="M51" s="87"/>
      <c r="N51" s="96"/>
      <c r="O51" s="87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>
      <c r="A52" s="1"/>
      <c r="B52" s="23">
        <f t="shared" si="17"/>
        <v>46</v>
      </c>
      <c r="C52" s="174" t="s">
        <v>117</v>
      </c>
      <c r="D52" s="169"/>
      <c r="E52" s="170">
        <v>4.0</v>
      </c>
      <c r="F52" s="171">
        <v>8.0</v>
      </c>
      <c r="G52" s="172" t="s">
        <v>19</v>
      </c>
      <c r="H52" s="175">
        <v>1830.0</v>
      </c>
      <c r="I52" s="109">
        <f t="shared" si="18"/>
        <v>58</v>
      </c>
      <c r="J52" s="31" t="s">
        <v>20</v>
      </c>
      <c r="K52" s="32"/>
      <c r="L52" s="87"/>
      <c r="M52" s="87"/>
      <c r="N52" s="96"/>
      <c r="O52" s="87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>
      <c r="A53" s="1"/>
      <c r="B53" s="23">
        <f t="shared" si="17"/>
        <v>47</v>
      </c>
      <c r="C53" s="174" t="s">
        <v>118</v>
      </c>
      <c r="D53" s="169"/>
      <c r="E53" s="170">
        <v>4.0</v>
      </c>
      <c r="F53" s="171">
        <v>8.0</v>
      </c>
      <c r="G53" s="172" t="s">
        <v>19</v>
      </c>
      <c r="H53" s="175">
        <v>2500.0</v>
      </c>
      <c r="I53" s="109">
        <f t="shared" ref="I53:I60" si="19">H53/(E53*F53)</f>
        <v>78.125</v>
      </c>
      <c r="J53" s="31" t="s">
        <v>20</v>
      </c>
      <c r="K53" s="32"/>
      <c r="L53" s="87"/>
      <c r="M53" s="87"/>
      <c r="N53" s="96"/>
      <c r="O53" s="87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>
      <c r="A54" s="1"/>
      <c r="B54" s="23">
        <f t="shared" si="17"/>
        <v>48</v>
      </c>
      <c r="C54" s="176" t="s">
        <v>119</v>
      </c>
      <c r="D54" s="169"/>
      <c r="E54" s="170">
        <v>4.0</v>
      </c>
      <c r="F54" s="171">
        <v>8.0</v>
      </c>
      <c r="G54" s="177" t="s">
        <v>19</v>
      </c>
      <c r="H54" s="178">
        <v>2200.0</v>
      </c>
      <c r="I54" s="109">
        <f t="shared" si="19"/>
        <v>68.75</v>
      </c>
      <c r="J54" s="31" t="s">
        <v>20</v>
      </c>
      <c r="K54" s="32"/>
      <c r="L54" s="87"/>
      <c r="M54" s="87"/>
      <c r="N54" s="96"/>
      <c r="O54" s="87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>
      <c r="A55" s="1"/>
      <c r="B55" s="23">
        <f t="shared" si="17"/>
        <v>49</v>
      </c>
      <c r="C55" s="176" t="s">
        <v>120</v>
      </c>
      <c r="D55" s="169"/>
      <c r="E55" s="170">
        <v>4.0</v>
      </c>
      <c r="F55" s="171">
        <v>8.0</v>
      </c>
      <c r="G55" s="177" t="s">
        <v>19</v>
      </c>
      <c r="H55" s="178">
        <v>1700.0</v>
      </c>
      <c r="I55" s="109">
        <f t="shared" si="19"/>
        <v>53.125</v>
      </c>
      <c r="J55" s="31" t="s">
        <v>20</v>
      </c>
      <c r="K55" s="32"/>
      <c r="L55" s="87"/>
      <c r="M55" s="87"/>
      <c r="N55" s="96"/>
      <c r="O55" s="87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>
      <c r="A56" s="1"/>
      <c r="B56" s="23">
        <f t="shared" si="17"/>
        <v>50</v>
      </c>
      <c r="C56" s="176" t="s">
        <v>121</v>
      </c>
      <c r="D56" s="169"/>
      <c r="E56" s="170">
        <v>4.0</v>
      </c>
      <c r="F56" s="171">
        <v>8.0</v>
      </c>
      <c r="G56" s="177" t="s">
        <v>19</v>
      </c>
      <c r="H56" s="178">
        <v>2855.0</v>
      </c>
      <c r="I56" s="109">
        <f t="shared" si="19"/>
        <v>89.21875</v>
      </c>
      <c r="J56" s="31" t="s">
        <v>20</v>
      </c>
      <c r="K56" s="32"/>
      <c r="L56" s="87"/>
      <c r="M56" s="87"/>
      <c r="N56" s="96"/>
      <c r="O56" s="87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>
      <c r="A57" s="1"/>
      <c r="B57" s="23">
        <f t="shared" si="17"/>
        <v>51</v>
      </c>
      <c r="C57" s="179" t="s">
        <v>122</v>
      </c>
      <c r="D57" s="169"/>
      <c r="E57" s="170">
        <v>4.0</v>
      </c>
      <c r="F57" s="171">
        <v>8.0</v>
      </c>
      <c r="G57" s="180" t="s">
        <v>19</v>
      </c>
      <c r="H57" s="181">
        <v>3840.0</v>
      </c>
      <c r="I57" s="109">
        <f t="shared" si="19"/>
        <v>120</v>
      </c>
      <c r="J57" s="31" t="s">
        <v>20</v>
      </c>
      <c r="K57" s="32"/>
      <c r="L57" s="87"/>
      <c r="M57" s="87"/>
      <c r="N57" s="87"/>
      <c r="O57" s="87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>
      <c r="A58" s="1"/>
      <c r="B58" s="23">
        <f t="shared" si="17"/>
        <v>52</v>
      </c>
      <c r="C58" s="174" t="s">
        <v>123</v>
      </c>
      <c r="D58" s="169"/>
      <c r="E58" s="170">
        <v>4.0</v>
      </c>
      <c r="F58" s="171">
        <v>8.0</v>
      </c>
      <c r="G58" s="182" t="s">
        <v>19</v>
      </c>
      <c r="H58" s="175">
        <v>4800.0</v>
      </c>
      <c r="I58" s="109">
        <f t="shared" si="19"/>
        <v>150</v>
      </c>
      <c r="J58" s="31" t="s">
        <v>20</v>
      </c>
      <c r="K58" s="1"/>
      <c r="L58" s="87"/>
      <c r="M58" s="96"/>
      <c r="N58" s="2"/>
      <c r="O58" s="1"/>
      <c r="P58" s="1"/>
      <c r="Q58" s="1"/>
      <c r="R58" s="1"/>
      <c r="S58" s="1"/>
      <c r="T58" s="1"/>
      <c r="U58" s="32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>
      <c r="A59" s="1"/>
      <c r="B59" s="23">
        <f t="shared" si="17"/>
        <v>53</v>
      </c>
      <c r="C59" s="174" t="s">
        <v>124</v>
      </c>
      <c r="D59" s="169"/>
      <c r="E59" s="170">
        <v>4.0</v>
      </c>
      <c r="F59" s="171">
        <v>8.0</v>
      </c>
      <c r="G59" s="182" t="s">
        <v>19</v>
      </c>
      <c r="H59" s="175">
        <v>3500.0</v>
      </c>
      <c r="I59" s="109">
        <f t="shared" si="19"/>
        <v>109.375</v>
      </c>
      <c r="J59" s="31" t="s">
        <v>20</v>
      </c>
      <c r="K59" s="32"/>
      <c r="L59" s="87"/>
      <c r="M59" s="96"/>
      <c r="N59" s="96"/>
      <c r="O59" s="87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>
      <c r="A60" s="1"/>
      <c r="B60" s="23">
        <f t="shared" si="17"/>
        <v>54</v>
      </c>
      <c r="C60" s="174" t="s">
        <v>125</v>
      </c>
      <c r="D60" s="169"/>
      <c r="E60" s="170">
        <v>4.0</v>
      </c>
      <c r="F60" s="171">
        <v>8.0</v>
      </c>
      <c r="G60" s="182" t="s">
        <v>19</v>
      </c>
      <c r="H60" s="175">
        <v>5000.0</v>
      </c>
      <c r="I60" s="109">
        <f t="shared" si="19"/>
        <v>156.25</v>
      </c>
      <c r="J60" s="31" t="s">
        <v>20</v>
      </c>
      <c r="K60" s="32"/>
      <c r="L60" s="87"/>
      <c r="M60" s="96"/>
      <c r="N60" s="96"/>
      <c r="O60" s="87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>
      <c r="A61" s="1"/>
      <c r="B61" s="23">
        <f t="shared" si="17"/>
        <v>55</v>
      </c>
      <c r="C61" s="174" t="s">
        <v>126</v>
      </c>
      <c r="D61" s="169"/>
      <c r="E61" s="169"/>
      <c r="F61" s="169"/>
      <c r="G61" s="182" t="s">
        <v>127</v>
      </c>
      <c r="H61" s="175">
        <v>280.0</v>
      </c>
      <c r="I61" s="1"/>
      <c r="J61" s="1" t="s">
        <v>128</v>
      </c>
      <c r="K61" s="1"/>
      <c r="L61" s="87"/>
      <c r="M61" s="96"/>
      <c r="N61" s="96"/>
      <c r="O61" s="87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>
      <c r="A62" s="1"/>
      <c r="B62" s="23">
        <f t="shared" si="17"/>
        <v>56</v>
      </c>
      <c r="C62" s="174" t="s">
        <v>129</v>
      </c>
      <c r="D62" s="169"/>
      <c r="E62" s="169"/>
      <c r="F62" s="169"/>
      <c r="G62" s="182" t="s">
        <v>127</v>
      </c>
      <c r="H62" s="175">
        <v>220.0</v>
      </c>
      <c r="I62" s="1"/>
      <c r="J62" s="1" t="s">
        <v>128</v>
      </c>
      <c r="K62" s="1"/>
      <c r="L62" s="87"/>
      <c r="M62" s="96"/>
      <c r="N62" s="96"/>
      <c r="O62" s="87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>
      <c r="A63" s="1"/>
      <c r="B63" s="23">
        <f t="shared" si="17"/>
        <v>57</v>
      </c>
      <c r="C63" s="174" t="s">
        <v>130</v>
      </c>
      <c r="D63" s="169"/>
      <c r="E63" s="169"/>
      <c r="F63" s="169"/>
      <c r="G63" s="182" t="s">
        <v>131</v>
      </c>
      <c r="H63" s="175">
        <v>190.0</v>
      </c>
      <c r="I63" s="183">
        <v>169.0</v>
      </c>
      <c r="J63" s="1"/>
      <c r="K63" s="1"/>
      <c r="L63" s="87"/>
      <c r="M63" s="96"/>
      <c r="N63" s="96"/>
      <c r="O63" s="87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>
      <c r="A64" s="1"/>
      <c r="B64" s="23">
        <f t="shared" si="17"/>
        <v>58</v>
      </c>
      <c r="C64" s="174" t="s">
        <v>132</v>
      </c>
      <c r="D64" s="169"/>
      <c r="E64" s="169"/>
      <c r="F64" s="169"/>
      <c r="G64" s="182" t="s">
        <v>131</v>
      </c>
      <c r="H64" s="175">
        <v>210.0</v>
      </c>
      <c r="I64" s="183">
        <v>169.0</v>
      </c>
      <c r="J64" s="1"/>
      <c r="K64" s="1"/>
      <c r="L64" s="87"/>
      <c r="M64" s="96"/>
      <c r="N64" s="96"/>
      <c r="O64" s="87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>
      <c r="A65" s="1"/>
      <c r="B65" s="23">
        <f t="shared" ref="B65:B66" si="20">B62+1</f>
        <v>57</v>
      </c>
      <c r="C65" s="174" t="s">
        <v>133</v>
      </c>
      <c r="D65" s="169"/>
      <c r="E65" s="169"/>
      <c r="F65" s="169"/>
      <c r="G65" s="182" t="s">
        <v>131</v>
      </c>
      <c r="H65" s="175">
        <f>I65/0.8</f>
        <v>150</v>
      </c>
      <c r="I65" s="183">
        <v>120.0</v>
      </c>
      <c r="J65" s="1"/>
      <c r="K65" s="1"/>
      <c r="L65" s="87"/>
      <c r="M65" s="96"/>
      <c r="N65" s="96"/>
      <c r="O65" s="87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>
      <c r="A66" s="1"/>
      <c r="B66" s="23">
        <f t="shared" si="20"/>
        <v>58</v>
      </c>
      <c r="C66" s="174" t="s">
        <v>134</v>
      </c>
      <c r="D66" s="169"/>
      <c r="E66" s="169"/>
      <c r="F66" s="169"/>
      <c r="G66" s="182" t="s">
        <v>131</v>
      </c>
      <c r="H66" s="175">
        <v>180.0</v>
      </c>
      <c r="I66" s="183">
        <v>120.0</v>
      </c>
      <c r="J66" s="1"/>
      <c r="K66" s="1"/>
      <c r="L66" s="87"/>
      <c r="M66" s="96"/>
      <c r="N66" s="96"/>
      <c r="O66" s="87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>
      <c r="A67" s="1"/>
      <c r="B67" s="23">
        <f t="shared" ref="B67:B130" si="21">B66+1</f>
        <v>59</v>
      </c>
      <c r="C67" s="174" t="s">
        <v>135</v>
      </c>
      <c r="D67" s="169"/>
      <c r="E67" s="169"/>
      <c r="F67" s="169"/>
      <c r="G67" s="182" t="s">
        <v>127</v>
      </c>
      <c r="H67" s="175">
        <v>100.0</v>
      </c>
      <c r="I67" s="1"/>
      <c r="J67" s="1" t="s">
        <v>128</v>
      </c>
      <c r="K67" s="1"/>
      <c r="L67" s="87"/>
      <c r="M67" s="96"/>
      <c r="N67" s="96"/>
      <c r="O67" s="87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>
      <c r="A68" s="1"/>
      <c r="B68" s="23">
        <f t="shared" si="21"/>
        <v>60</v>
      </c>
      <c r="C68" s="174" t="s">
        <v>136</v>
      </c>
      <c r="D68" s="169"/>
      <c r="E68" s="169"/>
      <c r="F68" s="169"/>
      <c r="G68" s="182" t="s">
        <v>131</v>
      </c>
      <c r="H68" s="184">
        <v>785.0</v>
      </c>
      <c r="I68" s="1"/>
      <c r="J68" s="1"/>
      <c r="K68" s="1"/>
      <c r="L68" s="87"/>
      <c r="M68" s="96"/>
      <c r="N68" s="96"/>
      <c r="O68" s="87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>
      <c r="A69" s="1"/>
      <c r="B69" s="23">
        <f t="shared" si="21"/>
        <v>61</v>
      </c>
      <c r="C69" s="174" t="s">
        <v>137</v>
      </c>
      <c r="D69" s="169"/>
      <c r="E69" s="169"/>
      <c r="F69" s="169"/>
      <c r="G69" s="182" t="s">
        <v>131</v>
      </c>
      <c r="H69" s="184">
        <v>365.0</v>
      </c>
      <c r="I69" s="1"/>
      <c r="J69" s="1"/>
      <c r="K69" s="1"/>
      <c r="L69" s="87"/>
      <c r="M69" s="96"/>
      <c r="N69" s="96"/>
      <c r="O69" s="87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>
      <c r="A70" s="1"/>
      <c r="B70" s="23">
        <f t="shared" si="21"/>
        <v>62</v>
      </c>
      <c r="C70" s="174" t="s">
        <v>138</v>
      </c>
      <c r="D70" s="169"/>
      <c r="E70" s="169"/>
      <c r="F70" s="169"/>
      <c r="G70" s="182" t="s">
        <v>131</v>
      </c>
      <c r="H70" s="184">
        <v>300.0</v>
      </c>
      <c r="I70" s="1"/>
      <c r="J70" s="1"/>
      <c r="K70" s="1"/>
      <c r="L70" s="87"/>
      <c r="M70" s="96"/>
      <c r="N70" s="96"/>
      <c r="O70" s="87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>
      <c r="A71" s="1"/>
      <c r="B71" s="23">
        <f t="shared" si="21"/>
        <v>63</v>
      </c>
      <c r="C71" s="174" t="s">
        <v>139</v>
      </c>
      <c r="D71" s="169"/>
      <c r="E71" s="169"/>
      <c r="F71" s="169"/>
      <c r="G71" s="182" t="s">
        <v>131</v>
      </c>
      <c r="H71" s="184">
        <v>800.0</v>
      </c>
      <c r="I71" s="1"/>
      <c r="J71" s="1"/>
      <c r="K71" s="1"/>
      <c r="L71" s="87"/>
      <c r="M71" s="96"/>
      <c r="N71" s="96"/>
      <c r="O71" s="185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"/>
      <c r="B72" s="23">
        <f t="shared" si="21"/>
        <v>64</v>
      </c>
      <c r="C72" s="174" t="s">
        <v>140</v>
      </c>
      <c r="D72" s="169"/>
      <c r="E72" s="169"/>
      <c r="F72" s="169"/>
      <c r="G72" s="182" t="s">
        <v>131</v>
      </c>
      <c r="H72" s="184">
        <v>400.0</v>
      </c>
      <c r="I72" s="1"/>
      <c r="J72" s="1"/>
      <c r="K72" s="1"/>
      <c r="L72" s="87"/>
      <c r="M72" s="96"/>
      <c r="N72" s="96"/>
      <c r="O72" s="18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"/>
      <c r="B73" s="23">
        <f t="shared" si="21"/>
        <v>65</v>
      </c>
      <c r="C73" s="174" t="s">
        <v>141</v>
      </c>
      <c r="D73" s="174"/>
      <c r="E73" s="174"/>
      <c r="F73" s="174"/>
      <c r="G73" s="182" t="s">
        <v>131</v>
      </c>
      <c r="H73" s="184">
        <v>310.0</v>
      </c>
      <c r="I73" s="1"/>
      <c r="J73" s="1"/>
      <c r="K73" s="1"/>
      <c r="L73" s="1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"/>
      <c r="B74" s="23">
        <f t="shared" si="21"/>
        <v>66</v>
      </c>
      <c r="C74" s="174" t="s">
        <v>142</v>
      </c>
      <c r="D74" s="169"/>
      <c r="E74" s="186"/>
      <c r="F74" s="187"/>
      <c r="G74" s="182" t="s">
        <v>131</v>
      </c>
      <c r="H74" s="184">
        <v>840.0</v>
      </c>
      <c r="I74" s="183">
        <v>65.0</v>
      </c>
      <c r="J74" s="1"/>
      <c r="K74" s="1"/>
      <c r="L74" s="1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23">
        <f t="shared" si="21"/>
        <v>67</v>
      </c>
      <c r="C75" s="169" t="s">
        <v>143</v>
      </c>
      <c r="D75" s="169"/>
      <c r="E75" s="186"/>
      <c r="F75" s="187"/>
      <c r="G75" s="182" t="s">
        <v>131</v>
      </c>
      <c r="H75" s="184">
        <v>450.0</v>
      </c>
      <c r="I75" s="183">
        <v>72.0</v>
      </c>
      <c r="J75" s="1"/>
      <c r="K75" s="1"/>
      <c r="L75" s="1"/>
      <c r="M75" s="1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23">
        <f t="shared" si="21"/>
        <v>68</v>
      </c>
      <c r="C76" s="169" t="s">
        <v>144</v>
      </c>
      <c r="D76" s="169"/>
      <c r="E76" s="169"/>
      <c r="F76" s="169"/>
      <c r="G76" s="182" t="s">
        <v>131</v>
      </c>
      <c r="H76" s="184">
        <v>325.0</v>
      </c>
      <c r="I76" s="183">
        <v>98.0</v>
      </c>
      <c r="J76" s="1"/>
      <c r="K76" s="1"/>
      <c r="L76" s="1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23">
        <f t="shared" si="21"/>
        <v>69</v>
      </c>
      <c r="C77" s="174" t="s">
        <v>145</v>
      </c>
      <c r="D77" s="169"/>
      <c r="E77" s="169"/>
      <c r="F77" s="169"/>
      <c r="G77" s="182" t="s">
        <v>131</v>
      </c>
      <c r="H77" s="188">
        <v>880.0</v>
      </c>
      <c r="I77" s="183">
        <v>182.0</v>
      </c>
      <c r="J77" s="1"/>
      <c r="K77" s="1"/>
      <c r="L77" s="2"/>
      <c r="M77" s="2"/>
      <c r="N77" s="189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23">
        <f t="shared" si="21"/>
        <v>70</v>
      </c>
      <c r="C78" s="174" t="s">
        <v>146</v>
      </c>
      <c r="D78" s="169"/>
      <c r="E78" s="169"/>
      <c r="F78" s="169"/>
      <c r="G78" s="182" t="s">
        <v>131</v>
      </c>
      <c r="H78" s="184">
        <v>500.0</v>
      </c>
      <c r="I78" s="183">
        <v>195.0</v>
      </c>
      <c r="J78" s="1"/>
      <c r="K78" s="1"/>
      <c r="L78" s="2"/>
      <c r="M78" s="2"/>
      <c r="N78" s="189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23">
        <f t="shared" si="21"/>
        <v>71</v>
      </c>
      <c r="C79" s="174" t="s">
        <v>147</v>
      </c>
      <c r="D79" s="169"/>
      <c r="E79" s="169"/>
      <c r="F79" s="169"/>
      <c r="G79" s="182" t="s">
        <v>131</v>
      </c>
      <c r="H79" s="184">
        <v>410.0</v>
      </c>
      <c r="I79" s="183">
        <v>208.0</v>
      </c>
      <c r="J79" s="1"/>
      <c r="K79" s="1"/>
      <c r="L79" s="2"/>
      <c r="M79" s="2"/>
      <c r="N79" s="189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23">
        <f t="shared" si="21"/>
        <v>72</v>
      </c>
      <c r="C80" s="169" t="s">
        <v>148</v>
      </c>
      <c r="D80" s="169"/>
      <c r="E80" s="169"/>
      <c r="F80" s="169"/>
      <c r="G80" s="172" t="s">
        <v>131</v>
      </c>
      <c r="H80" s="188">
        <v>1100.0</v>
      </c>
      <c r="I80" s="1"/>
      <c r="J80" s="1"/>
      <c r="K80" s="1"/>
      <c r="L80" s="2"/>
      <c r="M80" s="2"/>
      <c r="N80" s="19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23">
        <f t="shared" si="21"/>
        <v>73</v>
      </c>
      <c r="C81" s="174" t="s">
        <v>149</v>
      </c>
      <c r="D81" s="174"/>
      <c r="E81" s="174"/>
      <c r="F81" s="169"/>
      <c r="G81" s="182" t="s">
        <v>131</v>
      </c>
      <c r="H81" s="184">
        <v>1200.0</v>
      </c>
      <c r="I81" s="1"/>
      <c r="J81" s="1"/>
      <c r="K81" s="1"/>
      <c r="L81" s="1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23">
        <f t="shared" si="21"/>
        <v>74</v>
      </c>
      <c r="C82" s="174" t="s">
        <v>150</v>
      </c>
      <c r="D82" s="169"/>
      <c r="E82" s="174"/>
      <c r="F82" s="169"/>
      <c r="G82" s="182" t="s">
        <v>151</v>
      </c>
      <c r="H82" s="184">
        <v>8.0</v>
      </c>
      <c r="I82" s="1"/>
      <c r="J82" s="1"/>
      <c r="K82" s="1"/>
      <c r="L82" s="1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23">
        <f t="shared" si="21"/>
        <v>75</v>
      </c>
      <c r="C83" s="174" t="s">
        <v>152</v>
      </c>
      <c r="D83" s="169"/>
      <c r="E83" s="174"/>
      <c r="F83" s="169"/>
      <c r="G83" s="182" t="s">
        <v>153</v>
      </c>
      <c r="H83" s="184">
        <v>245.0</v>
      </c>
      <c r="I83" s="1"/>
      <c r="J83" s="1"/>
      <c r="K83" s="1"/>
      <c r="L83" s="1"/>
      <c r="M83" s="1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23">
        <f t="shared" si="21"/>
        <v>76</v>
      </c>
      <c r="C84" s="174" t="s">
        <v>154</v>
      </c>
      <c r="D84" s="174"/>
      <c r="E84" s="169"/>
      <c r="F84" s="169"/>
      <c r="G84" s="182" t="s">
        <v>153</v>
      </c>
      <c r="H84" s="184">
        <v>80.0</v>
      </c>
      <c r="I84" s="1"/>
      <c r="J84" s="1"/>
      <c r="K84" s="1"/>
      <c r="L84" s="1"/>
      <c r="M84" s="1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23">
        <f t="shared" si="21"/>
        <v>77</v>
      </c>
      <c r="C85" s="169" t="s">
        <v>155</v>
      </c>
      <c r="D85" s="169"/>
      <c r="E85" s="174"/>
      <c r="F85" s="187"/>
      <c r="G85" s="182" t="s">
        <v>156</v>
      </c>
      <c r="H85" s="184">
        <v>200.0</v>
      </c>
      <c r="I85" s="1"/>
      <c r="J85" s="1"/>
      <c r="K85" s="1"/>
      <c r="L85" s="1"/>
      <c r="M85" s="1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9.5" customHeight="1">
      <c r="A86" s="1"/>
      <c r="B86" s="23">
        <f t="shared" si="21"/>
        <v>78</v>
      </c>
      <c r="C86" s="191" t="s">
        <v>157</v>
      </c>
      <c r="D86" s="191"/>
      <c r="E86" s="192"/>
      <c r="F86" s="193"/>
      <c r="G86" s="194" t="s">
        <v>156</v>
      </c>
      <c r="H86" s="195">
        <v>150.0</v>
      </c>
      <c r="I86" s="1"/>
      <c r="J86" s="1"/>
      <c r="K86" s="1"/>
      <c r="L86" s="1"/>
      <c r="M86" s="1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23">
        <f t="shared" si="21"/>
        <v>79</v>
      </c>
      <c r="C87" s="196"/>
      <c r="D87" s="197" t="s">
        <v>158</v>
      </c>
      <c r="E87" s="198"/>
      <c r="F87" s="199"/>
      <c r="G87" s="199"/>
      <c r="H87" s="200"/>
      <c r="I87" s="1"/>
      <c r="J87" s="1"/>
      <c r="K87" s="1"/>
      <c r="L87" s="1"/>
      <c r="M87" s="1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23">
        <f t="shared" si="21"/>
        <v>80</v>
      </c>
      <c r="C88" s="201" t="s">
        <v>159</v>
      </c>
      <c r="D88" s="201"/>
      <c r="E88" s="202"/>
      <c r="F88" s="203"/>
      <c r="G88" s="204" t="s">
        <v>160</v>
      </c>
      <c r="H88" s="205">
        <v>100.0</v>
      </c>
      <c r="I88" s="1"/>
      <c r="J88" s="1"/>
      <c r="K88" s="1"/>
      <c r="L88" s="1"/>
      <c r="M88" s="1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23">
        <f t="shared" si="21"/>
        <v>81</v>
      </c>
      <c r="C89" s="174" t="s">
        <v>161</v>
      </c>
      <c r="D89" s="174"/>
      <c r="E89" s="169"/>
      <c r="F89" s="187"/>
      <c r="G89" s="206" t="s">
        <v>160</v>
      </c>
      <c r="H89" s="184">
        <v>180.0</v>
      </c>
      <c r="I89" s="1"/>
      <c r="J89" s="1"/>
      <c r="K89" s="1"/>
      <c r="L89" s="1"/>
      <c r="M89" s="1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23">
        <f t="shared" si="21"/>
        <v>82</v>
      </c>
      <c r="C90" s="174" t="s">
        <v>162</v>
      </c>
      <c r="D90" s="174"/>
      <c r="E90" s="169"/>
      <c r="F90" s="187"/>
      <c r="G90" s="206" t="s">
        <v>160</v>
      </c>
      <c r="H90" s="184">
        <v>330.0</v>
      </c>
      <c r="I90" s="1"/>
      <c r="J90" s="1"/>
      <c r="K90" s="1"/>
      <c r="L90" s="1"/>
      <c r="M90" s="1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23">
        <f t="shared" si="21"/>
        <v>83</v>
      </c>
      <c r="C91" s="191" t="s">
        <v>163</v>
      </c>
      <c r="D91" s="191"/>
      <c r="E91" s="192"/>
      <c r="F91" s="193"/>
      <c r="G91" s="194" t="s">
        <v>156</v>
      </c>
      <c r="H91" s="195">
        <v>174.0</v>
      </c>
      <c r="I91" s="1"/>
      <c r="J91" s="1"/>
      <c r="K91" s="1"/>
      <c r="L91" s="1"/>
      <c r="M91" s="1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23">
        <f t="shared" si="21"/>
        <v>84</v>
      </c>
      <c r="C92" s="196"/>
      <c r="D92" s="197" t="s">
        <v>164</v>
      </c>
      <c r="E92" s="198"/>
      <c r="F92" s="199"/>
      <c r="G92" s="199"/>
      <c r="H92" s="200"/>
      <c r="I92" s="1"/>
      <c r="J92" s="1"/>
      <c r="K92" s="1"/>
      <c r="L92" s="1"/>
      <c r="M92" s="1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23">
        <f t="shared" si="21"/>
        <v>85</v>
      </c>
      <c r="C93" s="207" t="s">
        <v>165</v>
      </c>
      <c r="D93" s="207"/>
      <c r="E93" s="208"/>
      <c r="F93" s="209" t="s">
        <v>166</v>
      </c>
      <c r="G93" s="210" t="s">
        <v>160</v>
      </c>
      <c r="H93" s="211">
        <v>149.0</v>
      </c>
      <c r="I93" s="1"/>
      <c r="J93" s="1"/>
      <c r="K93" s="1"/>
      <c r="L93" s="1"/>
      <c r="M93" s="1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23">
        <f t="shared" si="21"/>
        <v>86</v>
      </c>
      <c r="C94" s="212" t="s">
        <v>167</v>
      </c>
      <c r="D94" s="212"/>
      <c r="E94" s="213"/>
      <c r="F94" s="106" t="s">
        <v>168</v>
      </c>
      <c r="G94" s="214" t="s">
        <v>160</v>
      </c>
      <c r="H94" s="215">
        <v>168.0</v>
      </c>
      <c r="I94" s="1"/>
      <c r="J94" s="1"/>
      <c r="K94" s="1"/>
      <c r="L94" s="1"/>
      <c r="M94" s="1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23">
        <f t="shared" si="21"/>
        <v>87</v>
      </c>
      <c r="C95" s="212" t="s">
        <v>169</v>
      </c>
      <c r="D95" s="212"/>
      <c r="E95" s="104"/>
      <c r="F95" s="106" t="s">
        <v>170</v>
      </c>
      <c r="G95" s="214" t="s">
        <v>160</v>
      </c>
      <c r="H95" s="215">
        <v>202.0</v>
      </c>
      <c r="I95" s="1"/>
      <c r="J95" s="1"/>
      <c r="K95" s="1"/>
      <c r="L95" s="1"/>
      <c r="M95" s="1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23">
        <f t="shared" si="21"/>
        <v>88</v>
      </c>
      <c r="C96" s="212" t="s">
        <v>171</v>
      </c>
      <c r="D96" s="212"/>
      <c r="E96" s="104"/>
      <c r="F96" s="106" t="s">
        <v>172</v>
      </c>
      <c r="G96" s="214" t="s">
        <v>160</v>
      </c>
      <c r="H96" s="215">
        <v>232.0</v>
      </c>
      <c r="I96" s="1"/>
      <c r="J96" s="1"/>
      <c r="K96" s="1"/>
      <c r="L96" s="1"/>
      <c r="M96" s="1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23">
        <f t="shared" si="21"/>
        <v>89</v>
      </c>
      <c r="C97" s="212" t="s">
        <v>173</v>
      </c>
      <c r="D97" s="212"/>
      <c r="E97" s="104"/>
      <c r="F97" s="106" t="s">
        <v>174</v>
      </c>
      <c r="G97" s="214" t="s">
        <v>160</v>
      </c>
      <c r="H97" s="215">
        <v>248.0</v>
      </c>
      <c r="I97" s="1"/>
      <c r="J97" s="1"/>
      <c r="K97" s="1"/>
      <c r="L97" s="1"/>
      <c r="M97" s="1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23">
        <f t="shared" si="21"/>
        <v>90</v>
      </c>
      <c r="C98" s="212" t="s">
        <v>175</v>
      </c>
      <c r="D98" s="212"/>
      <c r="E98" s="104"/>
      <c r="F98" s="106" t="s">
        <v>176</v>
      </c>
      <c r="G98" s="214" t="s">
        <v>160</v>
      </c>
      <c r="H98" s="215">
        <v>279.0</v>
      </c>
      <c r="I98" s="1"/>
      <c r="J98" s="1"/>
      <c r="K98" s="1"/>
      <c r="L98" s="1"/>
      <c r="M98" s="1"/>
      <c r="N98" s="2"/>
      <c r="O98" s="2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23">
        <f t="shared" si="21"/>
        <v>91</v>
      </c>
      <c r="C99" s="212" t="s">
        <v>177</v>
      </c>
      <c r="D99" s="212"/>
      <c r="E99" s="104"/>
      <c r="F99" s="106" t="s">
        <v>178</v>
      </c>
      <c r="G99" s="214" t="s">
        <v>160</v>
      </c>
      <c r="H99" s="215">
        <v>309.0</v>
      </c>
      <c r="I99" s="1"/>
      <c r="J99" s="1"/>
      <c r="K99" s="1"/>
      <c r="L99" s="1"/>
      <c r="M99" s="1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23">
        <f t="shared" si="21"/>
        <v>92</v>
      </c>
      <c r="C100" s="212" t="s">
        <v>179</v>
      </c>
      <c r="D100" s="212"/>
      <c r="E100" s="104"/>
      <c r="F100" s="106" t="s">
        <v>180</v>
      </c>
      <c r="G100" s="214" t="s">
        <v>160</v>
      </c>
      <c r="H100" s="215">
        <v>340.0</v>
      </c>
      <c r="I100" s="1"/>
      <c r="J100" s="1"/>
      <c r="K100" s="1"/>
      <c r="L100" s="1"/>
      <c r="M100" s="1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23">
        <f t="shared" si="21"/>
        <v>93</v>
      </c>
      <c r="C101" s="212" t="s">
        <v>181</v>
      </c>
      <c r="D101" s="212"/>
      <c r="E101" s="104"/>
      <c r="F101" s="106" t="s">
        <v>182</v>
      </c>
      <c r="G101" s="214" t="s">
        <v>160</v>
      </c>
      <c r="H101" s="215">
        <v>371.0</v>
      </c>
      <c r="I101" s="1"/>
      <c r="J101" s="1"/>
      <c r="K101" s="1"/>
      <c r="L101" s="1"/>
      <c r="M101" s="1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23">
        <f t="shared" si="21"/>
        <v>94</v>
      </c>
      <c r="C102" s="216" t="s">
        <v>183</v>
      </c>
      <c r="D102" s="216"/>
      <c r="E102" s="127"/>
      <c r="F102" s="129" t="s">
        <v>170</v>
      </c>
      <c r="G102" s="217" t="s">
        <v>160</v>
      </c>
      <c r="H102" s="218">
        <v>336.0</v>
      </c>
      <c r="I102" s="1"/>
      <c r="J102" s="1"/>
      <c r="K102" s="1"/>
      <c r="L102" s="1"/>
      <c r="M102" s="1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23">
        <f t="shared" si="21"/>
        <v>95</v>
      </c>
      <c r="C103" s="216" t="s">
        <v>184</v>
      </c>
      <c r="D103" s="216"/>
      <c r="E103" s="127"/>
      <c r="F103" s="129" t="s">
        <v>172</v>
      </c>
      <c r="G103" s="217" t="s">
        <v>160</v>
      </c>
      <c r="H103" s="218">
        <v>372.0</v>
      </c>
      <c r="I103" s="1"/>
      <c r="J103" s="1"/>
      <c r="K103" s="1"/>
      <c r="L103" s="1"/>
      <c r="M103" s="1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23">
        <f t="shared" si="21"/>
        <v>96</v>
      </c>
      <c r="C104" s="216" t="s">
        <v>185</v>
      </c>
      <c r="D104" s="216"/>
      <c r="E104" s="127"/>
      <c r="F104" s="129" t="s">
        <v>174</v>
      </c>
      <c r="G104" s="217" t="s">
        <v>160</v>
      </c>
      <c r="H104" s="218">
        <v>408.0</v>
      </c>
      <c r="I104" s="1"/>
      <c r="J104" s="1"/>
      <c r="K104" s="1"/>
      <c r="L104" s="1"/>
      <c r="M104" s="1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23">
        <f t="shared" si="21"/>
        <v>97</v>
      </c>
      <c r="C105" s="216" t="s">
        <v>186</v>
      </c>
      <c r="D105" s="216"/>
      <c r="E105" s="127"/>
      <c r="F105" s="129" t="s">
        <v>176</v>
      </c>
      <c r="G105" s="217" t="s">
        <v>160</v>
      </c>
      <c r="H105" s="218">
        <v>443.0</v>
      </c>
      <c r="I105" s="1"/>
      <c r="J105" s="1"/>
      <c r="K105" s="1"/>
      <c r="L105" s="1"/>
      <c r="M105" s="1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23">
        <f t="shared" si="21"/>
        <v>98</v>
      </c>
      <c r="C106" s="216" t="s">
        <v>187</v>
      </c>
      <c r="D106" s="216"/>
      <c r="E106" s="127"/>
      <c r="F106" s="129" t="s">
        <v>178</v>
      </c>
      <c r="G106" s="217" t="s">
        <v>160</v>
      </c>
      <c r="H106" s="218">
        <v>478.0</v>
      </c>
      <c r="I106" s="1"/>
      <c r="J106" s="1"/>
      <c r="K106" s="1"/>
      <c r="L106" s="1"/>
      <c r="M106" s="1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23">
        <f t="shared" si="21"/>
        <v>99</v>
      </c>
      <c r="C107" s="127" t="s">
        <v>188</v>
      </c>
      <c r="D107" s="127"/>
      <c r="E107" s="219"/>
      <c r="F107" s="129" t="s">
        <v>180</v>
      </c>
      <c r="G107" s="217" t="s">
        <v>160</v>
      </c>
      <c r="H107" s="218">
        <v>520.0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23">
        <f t="shared" si="21"/>
        <v>100</v>
      </c>
      <c r="C108" s="127" t="s">
        <v>189</v>
      </c>
      <c r="D108" s="127"/>
      <c r="E108" s="219"/>
      <c r="F108" s="129" t="s">
        <v>182</v>
      </c>
      <c r="G108" s="217" t="s">
        <v>160</v>
      </c>
      <c r="H108" s="220">
        <v>555.0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23">
        <f t="shared" si="21"/>
        <v>101</v>
      </c>
      <c r="C109" s="221" t="s">
        <v>190</v>
      </c>
      <c r="D109" s="221"/>
      <c r="E109" s="222"/>
      <c r="F109" s="223" t="s">
        <v>170</v>
      </c>
      <c r="G109" s="224" t="s">
        <v>160</v>
      </c>
      <c r="H109" s="225">
        <v>737.0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23">
        <f t="shared" si="21"/>
        <v>102</v>
      </c>
      <c r="C110" s="226" t="s">
        <v>191</v>
      </c>
      <c r="D110" s="226"/>
      <c r="E110" s="222"/>
      <c r="F110" s="223" t="s">
        <v>172</v>
      </c>
      <c r="G110" s="224" t="s">
        <v>160</v>
      </c>
      <c r="H110" s="225">
        <v>762.0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23">
        <f t="shared" si="21"/>
        <v>103</v>
      </c>
      <c r="C111" s="221" t="s">
        <v>192</v>
      </c>
      <c r="D111" s="221"/>
      <c r="E111" s="222"/>
      <c r="F111" s="223" t="s">
        <v>174</v>
      </c>
      <c r="G111" s="224" t="s">
        <v>160</v>
      </c>
      <c r="H111" s="227">
        <v>791.0</v>
      </c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23">
        <f t="shared" si="21"/>
        <v>104</v>
      </c>
      <c r="C112" s="221" t="s">
        <v>193</v>
      </c>
      <c r="D112" s="221"/>
      <c r="E112" s="222"/>
      <c r="F112" s="223" t="s">
        <v>176</v>
      </c>
      <c r="G112" s="224" t="s">
        <v>160</v>
      </c>
      <c r="H112" s="227">
        <v>805.0</v>
      </c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23">
        <f t="shared" si="21"/>
        <v>105</v>
      </c>
      <c r="C113" s="221" t="s">
        <v>194</v>
      </c>
      <c r="D113" s="221"/>
      <c r="E113" s="221"/>
      <c r="F113" s="223" t="s">
        <v>178</v>
      </c>
      <c r="G113" s="224" t="s">
        <v>160</v>
      </c>
      <c r="H113" s="228">
        <v>939.0</v>
      </c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23">
        <f t="shared" si="21"/>
        <v>106</v>
      </c>
      <c r="C114" s="229" t="s">
        <v>195</v>
      </c>
      <c r="D114" s="230"/>
      <c r="E114" s="230"/>
      <c r="F114" s="230"/>
      <c r="G114" s="230"/>
      <c r="H114" s="231"/>
      <c r="I114" s="2"/>
      <c r="J114" s="232"/>
      <c r="K114" s="233"/>
      <c r="L114" s="233"/>
      <c r="M114" s="233"/>
      <c r="N114" s="233"/>
      <c r="O114" s="234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23">
        <f t="shared" si="21"/>
        <v>107</v>
      </c>
      <c r="C115" s="169" t="s">
        <v>196</v>
      </c>
      <c r="D115" s="169"/>
      <c r="E115" s="186"/>
      <c r="F115" s="187"/>
      <c r="G115" s="172" t="s">
        <v>197</v>
      </c>
      <c r="H115" s="184">
        <v>60.0</v>
      </c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23">
        <f t="shared" si="21"/>
        <v>108</v>
      </c>
      <c r="C116" s="192" t="s">
        <v>198</v>
      </c>
      <c r="D116" s="192"/>
      <c r="E116" s="235"/>
      <c r="F116" s="193"/>
      <c r="G116" s="236" t="s">
        <v>197</v>
      </c>
      <c r="H116" s="195">
        <v>2.0</v>
      </c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23">
        <f t="shared" si="21"/>
        <v>109</v>
      </c>
      <c r="C117" s="237"/>
      <c r="D117" s="238" t="s">
        <v>199</v>
      </c>
      <c r="E117" s="239"/>
      <c r="F117" s="199"/>
      <c r="G117" s="198"/>
      <c r="H117" s="200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23">
        <f t="shared" si="21"/>
        <v>110</v>
      </c>
      <c r="C118" s="240" t="s">
        <v>200</v>
      </c>
      <c r="D118" s="202"/>
      <c r="E118" s="241"/>
      <c r="F118" s="203"/>
      <c r="G118" s="242" t="s">
        <v>131</v>
      </c>
      <c r="H118" s="243">
        <f t="shared" ref="H118:H123" si="22">roundup(I118/0.7,0)</f>
        <v>93</v>
      </c>
      <c r="I118" s="244">
        <v>65.0</v>
      </c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23">
        <f t="shared" si="21"/>
        <v>111</v>
      </c>
      <c r="C119" s="245" t="s">
        <v>201</v>
      </c>
      <c r="D119" s="169"/>
      <c r="E119" s="186"/>
      <c r="F119" s="187"/>
      <c r="G119" s="172" t="s">
        <v>131</v>
      </c>
      <c r="H119" s="243">
        <f t="shared" si="22"/>
        <v>103</v>
      </c>
      <c r="I119" s="244">
        <v>72.0</v>
      </c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23">
        <f t="shared" si="21"/>
        <v>112</v>
      </c>
      <c r="C120" s="245" t="s">
        <v>202</v>
      </c>
      <c r="D120" s="169"/>
      <c r="E120" s="169"/>
      <c r="F120" s="169"/>
      <c r="G120" s="172" t="s">
        <v>131</v>
      </c>
      <c r="H120" s="243">
        <f t="shared" si="22"/>
        <v>140</v>
      </c>
      <c r="I120" s="244">
        <v>98.0</v>
      </c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23">
        <f t="shared" si="21"/>
        <v>113</v>
      </c>
      <c r="C121" s="246" t="s">
        <v>203</v>
      </c>
      <c r="D121" s="174"/>
      <c r="E121" s="169"/>
      <c r="F121" s="169"/>
      <c r="G121" s="172" t="s">
        <v>131</v>
      </c>
      <c r="H121" s="243">
        <f t="shared" si="22"/>
        <v>260</v>
      </c>
      <c r="I121" s="183">
        <v>182.0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23">
        <f t="shared" si="21"/>
        <v>114</v>
      </c>
      <c r="C122" s="245" t="s">
        <v>204</v>
      </c>
      <c r="D122" s="169"/>
      <c r="E122" s="169"/>
      <c r="F122" s="169"/>
      <c r="G122" s="172" t="s">
        <v>131</v>
      </c>
      <c r="H122" s="243">
        <f t="shared" si="22"/>
        <v>279</v>
      </c>
      <c r="I122" s="244">
        <v>195.0</v>
      </c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23">
        <f t="shared" si="21"/>
        <v>115</v>
      </c>
      <c r="C123" s="245" t="s">
        <v>205</v>
      </c>
      <c r="D123" s="169"/>
      <c r="E123" s="169"/>
      <c r="F123" s="169"/>
      <c r="G123" s="172" t="s">
        <v>131</v>
      </c>
      <c r="H123" s="243">
        <f t="shared" si="22"/>
        <v>298</v>
      </c>
      <c r="I123" s="244">
        <v>208.0</v>
      </c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23">
        <f t="shared" si="21"/>
        <v>116</v>
      </c>
      <c r="C124" s="237"/>
      <c r="D124" s="238" t="s">
        <v>206</v>
      </c>
      <c r="E124" s="198"/>
      <c r="F124" s="198"/>
      <c r="G124" s="198"/>
      <c r="H124" s="24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23">
        <f t="shared" si="21"/>
        <v>117</v>
      </c>
      <c r="C125" s="240" t="s">
        <v>207</v>
      </c>
      <c r="D125" s="202"/>
      <c r="E125" s="202"/>
      <c r="F125" s="202"/>
      <c r="G125" s="242" t="s">
        <v>131</v>
      </c>
      <c r="H125" s="248">
        <v>180.0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23">
        <f t="shared" si="21"/>
        <v>118</v>
      </c>
      <c r="C126" s="249" t="s">
        <v>208</v>
      </c>
      <c r="D126" s="192"/>
      <c r="E126" s="192"/>
      <c r="F126" s="192"/>
      <c r="G126" s="236" t="s">
        <v>131</v>
      </c>
      <c r="H126" s="248">
        <v>150.0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23">
        <f t="shared" si="21"/>
        <v>119</v>
      </c>
      <c r="C127" s="237"/>
      <c r="D127" s="238" t="s">
        <v>209</v>
      </c>
      <c r="E127" s="198"/>
      <c r="F127" s="198"/>
      <c r="G127" s="198"/>
      <c r="H127" s="24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23">
        <f t="shared" si="21"/>
        <v>120</v>
      </c>
      <c r="C128" s="202" t="s">
        <v>126</v>
      </c>
      <c r="D128" s="202"/>
      <c r="E128" s="202"/>
      <c r="F128" s="202"/>
      <c r="G128" s="242" t="s">
        <v>131</v>
      </c>
      <c r="H128" s="250">
        <v>270.0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23">
        <f t="shared" si="21"/>
        <v>121</v>
      </c>
      <c r="C129" s="169" t="s">
        <v>210</v>
      </c>
      <c r="D129" s="169"/>
      <c r="E129" s="169"/>
      <c r="F129" s="169"/>
      <c r="G129" s="172" t="s">
        <v>131</v>
      </c>
      <c r="H129" s="251">
        <v>120.0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23">
        <f t="shared" si="21"/>
        <v>122</v>
      </c>
      <c r="C130" s="169" t="s">
        <v>129</v>
      </c>
      <c r="D130" s="169"/>
      <c r="E130" s="169"/>
      <c r="F130" s="169"/>
      <c r="G130" s="172" t="s">
        <v>131</v>
      </c>
      <c r="H130" s="251">
        <v>250.0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</row>
    <row r="1031">
      <c r="G1031" s="252"/>
    </row>
    <row r="1032">
      <c r="G1032" s="252"/>
    </row>
    <row r="1033">
      <c r="G1033" s="252"/>
    </row>
    <row r="1034">
      <c r="G1034" s="252"/>
    </row>
    <row r="1035">
      <c r="G1035" s="252"/>
    </row>
    <row r="1036">
      <c r="G1036" s="252"/>
    </row>
    <row r="1037">
      <c r="G1037" s="252"/>
    </row>
    <row r="1038">
      <c r="G1038" s="252"/>
    </row>
    <row r="1039">
      <c r="G1039" s="252"/>
    </row>
    <row r="1040">
      <c r="G1040" s="252"/>
    </row>
    <row r="1041">
      <c r="G1041" s="252"/>
    </row>
    <row r="1042">
      <c r="G1042" s="252"/>
    </row>
    <row r="1043">
      <c r="G1043" s="252"/>
    </row>
    <row r="1044">
      <c r="G1044" s="252"/>
    </row>
    <row r="1045">
      <c r="G1045" s="252"/>
    </row>
    <row r="1046">
      <c r="G1046" s="252"/>
    </row>
    <row r="1047">
      <c r="G1047" s="252"/>
    </row>
    <row r="1048">
      <c r="G1048" s="252"/>
    </row>
    <row r="1049">
      <c r="G1049" s="252"/>
    </row>
    <row r="1050">
      <c r="G1050" s="252"/>
    </row>
    <row r="1051">
      <c r="G1051" s="252"/>
    </row>
    <row r="1052">
      <c r="G1052" s="252"/>
    </row>
    <row r="1053">
      <c r="G1053" s="252"/>
    </row>
    <row r="1054">
      <c r="G1054" s="252"/>
    </row>
    <row r="1055">
      <c r="G1055" s="252"/>
    </row>
    <row r="1056">
      <c r="G1056" s="252"/>
    </row>
    <row r="1057">
      <c r="G1057" s="252"/>
    </row>
    <row r="1058">
      <c r="G1058" s="252"/>
    </row>
    <row r="1059">
      <c r="G1059" s="252"/>
    </row>
    <row r="1060">
      <c r="G1060" s="252"/>
    </row>
    <row r="1061">
      <c r="G1061" s="252"/>
    </row>
    <row r="1062">
      <c r="G1062" s="252"/>
    </row>
    <row r="1063">
      <c r="G1063" s="252"/>
    </row>
    <row r="1064">
      <c r="G1064" s="252"/>
    </row>
    <row r="1065">
      <c r="G1065" s="252"/>
    </row>
    <row r="1066">
      <c r="G1066" s="252"/>
    </row>
    <row r="1067">
      <c r="G1067" s="252"/>
    </row>
    <row r="1068">
      <c r="G1068" s="252"/>
    </row>
    <row r="1069">
      <c r="G1069" s="252"/>
    </row>
    <row r="1070">
      <c r="G1070" s="252"/>
    </row>
    <row r="1071">
      <c r="G1071" s="252"/>
    </row>
    <row r="1072">
      <c r="G1072" s="252"/>
    </row>
    <row r="1073">
      <c r="G1073" s="252"/>
    </row>
    <row r="1074">
      <c r="G1074" s="252"/>
    </row>
  </sheetData>
  <mergeCells count="9">
    <mergeCell ref="C16:D16"/>
    <mergeCell ref="C114:H114"/>
    <mergeCell ref="U3:V3"/>
    <mergeCell ref="W3:AA3"/>
    <mergeCell ref="AB3:AF3"/>
    <mergeCell ref="C4:F4"/>
    <mergeCell ref="U25:V25"/>
    <mergeCell ref="W25:AA25"/>
    <mergeCell ref="AB25:AF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0.0" ySplit="2.0" topLeftCell="K3" activePane="bottomRight" state="frozen"/>
      <selection activeCell="K1" sqref="K1" pane="topRight"/>
      <selection activeCell="A3" sqref="A3" pane="bottomLeft"/>
      <selection activeCell="K3" sqref="K3" pane="bottomRight"/>
    </sheetView>
  </sheetViews>
  <sheetFormatPr customHeight="1" defaultColWidth="12.63" defaultRowHeight="15.75" outlineLevelRow="1"/>
  <cols>
    <col customWidth="1" min="1" max="1" width="8.75"/>
    <col customWidth="1" min="2" max="2" width="17.0"/>
    <col customWidth="1" min="3" max="3" width="18.5"/>
    <col customWidth="1" min="4" max="4" width="7.5"/>
    <col customWidth="1" min="5" max="5" width="11.13"/>
    <col customWidth="1" min="6" max="6" width="11.0"/>
    <col customWidth="1" min="7" max="7" width="13.0"/>
    <col customWidth="1" min="8" max="8" width="10.13"/>
    <col customWidth="1" min="9" max="10" width="8.5"/>
    <col customWidth="1" min="11" max="11" width="8.13"/>
    <col customWidth="1" min="12" max="12" width="12.88"/>
    <col customWidth="1" min="13" max="13" width="5.75"/>
    <col customWidth="1" min="14" max="15" width="9.88"/>
    <col customWidth="1" min="16" max="16" width="9.5"/>
    <col customWidth="1" min="17" max="17" width="10.0"/>
    <col customWidth="1" min="18" max="18" width="10.88"/>
    <col customWidth="1" min="19" max="21" width="9.38"/>
  </cols>
  <sheetData>
    <row r="1" ht="12.0" customHeight="1">
      <c r="A1" s="253"/>
      <c r="B1" s="254"/>
      <c r="C1" s="254"/>
      <c r="D1" s="254"/>
      <c r="E1" s="254"/>
      <c r="F1" s="254"/>
      <c r="G1" s="254"/>
      <c r="H1" s="254"/>
      <c r="I1" s="255"/>
      <c r="J1" s="255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</row>
    <row r="2" ht="23.25" customHeight="1">
      <c r="A2" s="253"/>
      <c r="B2" s="257" t="s">
        <v>211</v>
      </c>
      <c r="C2" s="100"/>
      <c r="D2" s="100"/>
      <c r="E2" s="100"/>
      <c r="F2" s="100"/>
      <c r="G2" s="100"/>
      <c r="H2" s="98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</row>
    <row r="3" ht="21.75" customHeight="1">
      <c r="A3" s="253"/>
      <c r="B3" s="258" t="s">
        <v>212</v>
      </c>
      <c r="C3" s="259">
        <v>1.0</v>
      </c>
      <c r="D3" s="260"/>
      <c r="F3" s="261" t="s">
        <v>213</v>
      </c>
      <c r="G3" s="262"/>
      <c r="H3" s="263">
        <v>0.0</v>
      </c>
      <c r="K3" s="256" t="s">
        <v>214</v>
      </c>
      <c r="R3" s="256"/>
      <c r="S3" s="256"/>
      <c r="T3" s="256"/>
      <c r="U3" s="256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</row>
    <row r="4">
      <c r="A4" s="253"/>
      <c r="B4" s="264" t="s">
        <v>215</v>
      </c>
      <c r="C4" s="265">
        <v>0.6</v>
      </c>
      <c r="D4" s="266" t="s">
        <v>216</v>
      </c>
      <c r="F4" s="261" t="s">
        <v>217</v>
      </c>
      <c r="G4" s="262"/>
      <c r="H4" s="265">
        <v>0.0</v>
      </c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</row>
    <row r="5">
      <c r="A5" s="253"/>
      <c r="B5" s="264" t="s">
        <v>218</v>
      </c>
      <c r="C5" s="265">
        <v>0.2</v>
      </c>
      <c r="D5" s="266" t="s">
        <v>216</v>
      </c>
      <c r="F5" s="261" t="s">
        <v>219</v>
      </c>
      <c r="G5" s="262"/>
      <c r="H5" s="265">
        <v>0.0</v>
      </c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</row>
    <row r="6">
      <c r="A6" s="253"/>
      <c r="B6" s="267" t="s">
        <v>220</v>
      </c>
      <c r="C6" s="265">
        <v>0.45</v>
      </c>
      <c r="D6" s="266" t="s">
        <v>216</v>
      </c>
      <c r="F6" s="268" t="s">
        <v>221</v>
      </c>
      <c r="G6" s="262"/>
      <c r="H6" s="265">
        <v>1.0</v>
      </c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</row>
    <row r="7">
      <c r="A7" s="260"/>
      <c r="B7" s="268" t="s">
        <v>222</v>
      </c>
      <c r="C7" s="269" t="s">
        <v>84</v>
      </c>
      <c r="D7" s="270" t="s">
        <v>30</v>
      </c>
      <c r="F7" s="271">
        <v>0.6</v>
      </c>
      <c r="G7" s="271">
        <v>1.8</v>
      </c>
      <c r="H7" s="271">
        <v>0.43</v>
      </c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</row>
    <row r="8">
      <c r="A8" s="260"/>
      <c r="B8" s="274" t="s">
        <v>223</v>
      </c>
      <c r="C8" s="269" t="s">
        <v>28</v>
      </c>
      <c r="E8" s="275"/>
      <c r="F8" s="274" t="s">
        <v>224</v>
      </c>
      <c r="G8" s="276"/>
      <c r="H8" s="277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3"/>
    </row>
    <row r="9">
      <c r="A9" s="256"/>
      <c r="B9" s="274" t="s">
        <v>225</v>
      </c>
      <c r="C9" s="269" t="s">
        <v>114</v>
      </c>
      <c r="D9" s="256"/>
      <c r="E9" s="256"/>
      <c r="F9" s="261" t="s">
        <v>136</v>
      </c>
      <c r="G9" s="262"/>
      <c r="H9" s="278"/>
      <c r="I9" s="256"/>
      <c r="J9" s="256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</row>
    <row r="10">
      <c r="B10" s="274" t="s">
        <v>226</v>
      </c>
      <c r="C10" s="269" t="s">
        <v>116</v>
      </c>
      <c r="H10" s="279"/>
      <c r="I10" s="279"/>
      <c r="J10" s="279"/>
      <c r="K10" s="272"/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</row>
    <row r="11">
      <c r="B11" s="274" t="s">
        <v>158</v>
      </c>
      <c r="C11" s="269" t="s">
        <v>162</v>
      </c>
      <c r="F11" s="281" t="s">
        <v>227</v>
      </c>
      <c r="G11" s="277"/>
      <c r="H11" s="282">
        <f>roundup(C4*C5*10.764,0)</f>
        <v>2</v>
      </c>
      <c r="I11" s="279"/>
      <c r="J11" s="279"/>
      <c r="K11" s="272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</row>
    <row r="12">
      <c r="B12" s="274" t="s">
        <v>228</v>
      </c>
      <c r="C12" s="269" t="s">
        <v>169</v>
      </c>
      <c r="F12" s="281" t="s">
        <v>229</v>
      </c>
      <c r="G12" s="277"/>
      <c r="H12" s="283" t="str">
        <f>H44</f>
        <v>#N/A</v>
      </c>
      <c r="I12" s="279"/>
      <c r="J12" s="279"/>
      <c r="K12" s="272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</row>
    <row r="13" ht="21.75" customHeight="1">
      <c r="B13" s="284" t="s">
        <v>230</v>
      </c>
      <c r="C13" s="263" t="s">
        <v>231</v>
      </c>
      <c r="F13" s="281" t="s">
        <v>232</v>
      </c>
      <c r="G13" s="277"/>
      <c r="H13" s="283" t="str">
        <f>G44</f>
        <v>#N/A</v>
      </c>
      <c r="I13" s="279"/>
      <c r="J13" s="279"/>
      <c r="K13" s="272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</row>
    <row r="14" ht="18.0" customHeight="1">
      <c r="F14" s="1"/>
      <c r="G14" s="1"/>
      <c r="H14" s="285">
        <v>8.0</v>
      </c>
      <c r="I14" s="275"/>
      <c r="J14" s="275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73"/>
      <c r="W14" s="273"/>
      <c r="X14" s="273"/>
      <c r="Y14" s="273"/>
      <c r="Z14" s="273"/>
      <c r="AA14" s="273"/>
      <c r="AB14" s="273"/>
      <c r="AC14" s="273"/>
      <c r="AD14" s="273"/>
      <c r="AE14" s="273"/>
      <c r="AF14" s="273"/>
      <c r="AG14" s="273"/>
      <c r="AH14" s="273"/>
      <c r="AI14" s="273"/>
      <c r="AJ14" s="273"/>
    </row>
    <row r="15">
      <c r="A15" s="275"/>
      <c r="B15" s="287" t="s">
        <v>233</v>
      </c>
      <c r="C15" s="98"/>
      <c r="D15" s="288"/>
      <c r="E15" s="288"/>
      <c r="F15" s="287" t="s">
        <v>234</v>
      </c>
      <c r="G15" s="100"/>
      <c r="H15" s="98"/>
      <c r="I15" s="275"/>
      <c r="J15" s="275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73"/>
      <c r="W15" s="273"/>
      <c r="X15" s="273"/>
      <c r="Y15" s="273"/>
      <c r="Z15" s="273"/>
      <c r="AA15" s="273"/>
      <c r="AB15" s="273"/>
      <c r="AC15" s="273"/>
      <c r="AD15" s="273"/>
      <c r="AE15" s="273"/>
      <c r="AF15" s="273"/>
      <c r="AG15" s="273"/>
      <c r="AH15" s="273"/>
      <c r="AI15" s="273"/>
      <c r="AJ15" s="273"/>
    </row>
    <row r="16">
      <c r="A16" s="275"/>
      <c r="B16" s="289" t="s">
        <v>30</v>
      </c>
      <c r="C16" s="289" t="s">
        <v>235</v>
      </c>
      <c r="D16" s="288"/>
      <c r="E16" s="288"/>
      <c r="F16" s="290" t="s">
        <v>30</v>
      </c>
      <c r="G16" s="98"/>
      <c r="H16" s="289" t="s">
        <v>235</v>
      </c>
      <c r="I16" s="275"/>
      <c r="J16" s="275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73"/>
      <c r="W16" s="273"/>
      <c r="X16" s="273"/>
      <c r="Y16" s="273"/>
      <c r="Z16" s="273"/>
      <c r="AA16" s="273"/>
      <c r="AB16" s="273"/>
      <c r="AC16" s="273"/>
      <c r="AD16" s="273"/>
      <c r="AE16" s="273"/>
      <c r="AF16" s="273"/>
      <c r="AG16" s="273"/>
      <c r="AH16" s="273"/>
      <c r="AI16" s="273"/>
      <c r="AJ16" s="273"/>
    </row>
    <row r="17">
      <c r="A17" s="291" t="s">
        <v>222</v>
      </c>
      <c r="B17" s="292">
        <f t="shared" ref="B17:C17" si="1">O71</f>
        <v>53.8501392</v>
      </c>
      <c r="C17" s="293">
        <f t="shared" si="1"/>
        <v>1.68281685</v>
      </c>
      <c r="D17" s="87"/>
      <c r="E17" s="87"/>
      <c r="F17" s="294">
        <f t="shared" ref="F17:F19" si="3">H17*32</f>
        <v>32</v>
      </c>
      <c r="G17" s="262"/>
      <c r="H17" s="293">
        <f t="shared" ref="H17:H19" si="4">1-I15</f>
        <v>1</v>
      </c>
      <c r="I17" s="275"/>
      <c r="J17" s="275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73"/>
      <c r="W17" s="273"/>
      <c r="X17" s="273"/>
      <c r="Y17" s="273"/>
      <c r="Z17" s="273"/>
      <c r="AA17" s="273"/>
      <c r="AB17" s="273"/>
      <c r="AC17" s="273"/>
      <c r="AD17" s="273"/>
      <c r="AE17" s="273"/>
      <c r="AF17" s="273"/>
      <c r="AG17" s="273"/>
      <c r="AH17" s="273"/>
      <c r="AI17" s="273"/>
      <c r="AJ17" s="273"/>
    </row>
    <row r="18">
      <c r="A18" s="295" t="s">
        <v>223</v>
      </c>
      <c r="B18" s="292">
        <f t="shared" ref="B18:C18" si="2">O72</f>
        <v>4.4756712</v>
      </c>
      <c r="C18" s="293">
        <f t="shared" si="2"/>
        <v>0.139864725</v>
      </c>
      <c r="D18" s="87"/>
      <c r="E18" s="87"/>
      <c r="F18" s="294">
        <f t="shared" si="3"/>
        <v>32</v>
      </c>
      <c r="G18" s="262"/>
      <c r="H18" s="293">
        <f t="shared" si="4"/>
        <v>1</v>
      </c>
      <c r="I18" s="275"/>
      <c r="J18" s="275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73"/>
      <c r="W18" s="273"/>
      <c r="X18" s="273"/>
      <c r="Y18" s="273"/>
      <c r="Z18" s="273"/>
      <c r="AA18" s="273"/>
      <c r="AB18" s="273"/>
      <c r="AC18" s="273"/>
      <c r="AD18" s="273"/>
      <c r="AE18" s="273"/>
      <c r="AF18" s="273"/>
      <c r="AG18" s="273"/>
      <c r="AH18" s="273"/>
      <c r="AI18" s="273"/>
      <c r="AJ18" s="273"/>
    </row>
    <row r="19" ht="18.75" customHeight="1">
      <c r="A19" s="295" t="s">
        <v>225</v>
      </c>
      <c r="B19" s="292">
        <f>IF(or(C9=Master!C61,C9=Master!C62),O74,O73)</f>
        <v>93.9180528</v>
      </c>
      <c r="C19" s="293">
        <f>P73</f>
        <v>2.93493915</v>
      </c>
      <c r="D19" s="87"/>
      <c r="E19" s="87"/>
      <c r="F19" s="294">
        <f t="shared" si="3"/>
        <v>32</v>
      </c>
      <c r="G19" s="262"/>
      <c r="H19" s="293">
        <f t="shared" si="4"/>
        <v>1</v>
      </c>
      <c r="I19" s="275"/>
      <c r="J19" s="275"/>
      <c r="K19" s="286"/>
      <c r="L19" s="296" t="s">
        <v>236</v>
      </c>
      <c r="M19" s="100"/>
      <c r="N19" s="100"/>
      <c r="O19" s="100"/>
      <c r="P19" s="100"/>
      <c r="Q19" s="100"/>
      <c r="R19" s="100"/>
      <c r="S19" s="100"/>
      <c r="T19" s="100"/>
      <c r="U19" s="98"/>
      <c r="V19" s="273"/>
      <c r="W19" s="273"/>
      <c r="X19" s="273"/>
      <c r="Y19" s="273"/>
      <c r="Z19" s="273"/>
      <c r="AA19" s="273"/>
      <c r="AB19" s="273"/>
      <c r="AC19" s="273"/>
      <c r="AD19" s="273"/>
      <c r="AE19" s="273"/>
      <c r="AF19" s="273"/>
      <c r="AG19" s="273"/>
      <c r="AH19" s="273"/>
      <c r="AI19" s="273"/>
      <c r="AJ19" s="273"/>
    </row>
    <row r="20" ht="18.75" customHeight="1">
      <c r="A20" s="295" t="s">
        <v>226</v>
      </c>
      <c r="B20" s="292">
        <f>IF(or(C10=Master!C61,C10=Master!C62),O76,O75)</f>
        <v>22.733568</v>
      </c>
      <c r="C20" s="293">
        <f>P75</f>
        <v>0.710424</v>
      </c>
      <c r="D20" s="255"/>
      <c r="E20" s="255"/>
      <c r="F20" s="255"/>
      <c r="G20" s="297"/>
      <c r="H20" s="255"/>
      <c r="I20" s="275"/>
      <c r="J20" s="275"/>
      <c r="K20" s="298"/>
      <c r="L20" s="298" t="s">
        <v>237</v>
      </c>
      <c r="M20" s="298" t="str">
        <f>upper(M23)</f>
        <v>NOS</v>
      </c>
      <c r="N20" s="298" t="s">
        <v>238</v>
      </c>
      <c r="O20" s="298" t="s">
        <v>239</v>
      </c>
      <c r="P20" s="298" t="s">
        <v>240</v>
      </c>
      <c r="Q20" s="299"/>
      <c r="R20" s="300" t="str">
        <f>upper(L29)</f>
        <v>SHELVES </v>
      </c>
      <c r="S20" s="300" t="s">
        <v>241</v>
      </c>
      <c r="T20" s="300" t="s">
        <v>242</v>
      </c>
      <c r="U20" s="300" t="s">
        <v>243</v>
      </c>
      <c r="V20" s="280"/>
      <c r="W20" s="280"/>
      <c r="X20" s="280"/>
      <c r="Y20" s="280"/>
      <c r="Z20" s="280"/>
      <c r="AA20" s="280"/>
      <c r="AB20" s="280"/>
      <c r="AC20" s="280"/>
      <c r="AD20" s="280"/>
      <c r="AE20" s="280"/>
      <c r="AF20" s="280"/>
      <c r="AG20" s="280"/>
      <c r="AH20" s="280"/>
      <c r="AI20" s="280"/>
      <c r="AJ20" s="280"/>
    </row>
    <row r="21" ht="24.75" customHeight="1" outlineLevel="1">
      <c r="A21" s="275"/>
      <c r="G21" s="301"/>
      <c r="I21" s="302"/>
      <c r="J21" s="302"/>
      <c r="K21" s="303"/>
      <c r="L21" s="303"/>
      <c r="M21" s="303">
        <f>$C$3</f>
        <v>1</v>
      </c>
      <c r="N21" s="303">
        <f>C4</f>
        <v>0.6</v>
      </c>
      <c r="O21" s="303">
        <f>C5</f>
        <v>0.2</v>
      </c>
      <c r="P21" s="304">
        <f>C6</f>
        <v>0.45</v>
      </c>
      <c r="Q21" s="305" t="s">
        <v>244</v>
      </c>
      <c r="R21" s="306">
        <f>H3</f>
        <v>0</v>
      </c>
      <c r="S21" s="306">
        <f>H4</f>
        <v>0</v>
      </c>
      <c r="T21" s="307">
        <f>H6</f>
        <v>1</v>
      </c>
      <c r="U21" s="306">
        <f>H5</f>
        <v>0</v>
      </c>
      <c r="V21" s="280"/>
      <c r="W21" s="280"/>
      <c r="X21" s="280"/>
      <c r="Y21" s="280"/>
      <c r="Z21" s="280"/>
      <c r="AA21" s="280"/>
      <c r="AB21" s="280"/>
      <c r="AC21" s="280"/>
      <c r="AD21" s="280"/>
      <c r="AE21" s="280"/>
      <c r="AF21" s="280"/>
      <c r="AG21" s="280"/>
      <c r="AH21" s="280"/>
      <c r="AI21" s="280"/>
      <c r="AJ21" s="280"/>
    </row>
    <row r="22" outlineLevel="1">
      <c r="A22" s="308" t="s">
        <v>245</v>
      </c>
      <c r="B22" s="100"/>
      <c r="C22" s="100"/>
      <c r="D22" s="100"/>
      <c r="E22" s="100"/>
      <c r="F22" s="100"/>
      <c r="G22" s="98"/>
      <c r="H22" s="309"/>
      <c r="I22" s="309"/>
      <c r="J22" s="309"/>
      <c r="K22" s="87"/>
      <c r="L22" s="87"/>
      <c r="M22" s="87"/>
      <c r="N22" s="87"/>
      <c r="O22" s="87"/>
      <c r="P22" s="87"/>
      <c r="Q22" s="87"/>
      <c r="R22" s="87"/>
      <c r="S22" s="310">
        <f t="shared" ref="S22:U22" si="5">F7</f>
        <v>0.6</v>
      </c>
      <c r="T22" s="310">
        <f t="shared" si="5"/>
        <v>1.8</v>
      </c>
      <c r="U22" s="311">
        <f t="shared" si="5"/>
        <v>0.43</v>
      </c>
    </row>
    <row r="23" outlineLevel="1">
      <c r="A23" s="312" t="s">
        <v>5</v>
      </c>
      <c r="B23" s="313" t="s">
        <v>246</v>
      </c>
      <c r="C23" s="313" t="s">
        <v>247</v>
      </c>
      <c r="D23" s="314" t="s">
        <v>248</v>
      </c>
      <c r="E23" s="313" t="s">
        <v>249</v>
      </c>
      <c r="F23" s="314" t="s">
        <v>250</v>
      </c>
      <c r="G23" s="315" t="s">
        <v>251</v>
      </c>
      <c r="I23" s="316" t="s">
        <v>30</v>
      </c>
      <c r="J23" s="317" t="s">
        <v>235</v>
      </c>
      <c r="K23" s="87"/>
      <c r="L23" s="87"/>
      <c r="M23" s="318" t="s">
        <v>156</v>
      </c>
      <c r="N23" s="318" t="s">
        <v>252</v>
      </c>
      <c r="O23" s="319" t="s">
        <v>253</v>
      </c>
      <c r="P23" s="319" t="s">
        <v>254</v>
      </c>
      <c r="Q23" s="320" t="s">
        <v>255</v>
      </c>
      <c r="R23" s="321" t="s">
        <v>256</v>
      </c>
      <c r="S23" s="321" t="s">
        <v>257</v>
      </c>
      <c r="T23" s="321"/>
      <c r="U23" s="322"/>
    </row>
    <row r="24" outlineLevel="1">
      <c r="A24" s="323">
        <v>1.0</v>
      </c>
      <c r="B24" s="324" t="s">
        <v>222</v>
      </c>
      <c r="C24" s="323" t="str">
        <f>C7</f>
        <v>PLY MR  - 18mm</v>
      </c>
      <c r="D24" s="325" t="s">
        <v>258</v>
      </c>
      <c r="E24" s="326">
        <f t="shared" ref="E24:E25" si="6">C17</f>
        <v>1.68281685</v>
      </c>
      <c r="F24" s="327">
        <f>vlookup(C24,Master!$C$5:$H$110,6,0)</f>
        <v>2336</v>
      </c>
      <c r="G24" s="328">
        <f t="shared" ref="G24:G36" si="7">F24*E24</f>
        <v>3931.060162</v>
      </c>
      <c r="I24" s="329">
        <f t="shared" ref="I24:I26" si="8">O71</f>
        <v>53.8501392</v>
      </c>
      <c r="J24" s="330">
        <f t="shared" ref="J24:J26" si="9">I24/32</f>
        <v>1.68281685</v>
      </c>
      <c r="K24" s="331"/>
      <c r="L24" s="331" t="s">
        <v>259</v>
      </c>
      <c r="S24" s="332"/>
      <c r="T24" s="321"/>
      <c r="U24" s="333"/>
    </row>
    <row r="25" outlineLevel="1">
      <c r="A25" s="323">
        <f t="shared" ref="A25:A41" si="11">A24+1</f>
        <v>2</v>
      </c>
      <c r="B25" s="334" t="s">
        <v>260</v>
      </c>
      <c r="C25" s="323" t="s">
        <v>108</v>
      </c>
      <c r="D25" s="325" t="s">
        <v>258</v>
      </c>
      <c r="E25" s="326">
        <f t="shared" si="6"/>
        <v>0.139864725</v>
      </c>
      <c r="F25" s="335">
        <f>vlookup(C25,Master!$C$5:$H$110,6,0)</f>
        <v>3450</v>
      </c>
      <c r="G25" s="328">
        <f t="shared" si="7"/>
        <v>482.5333013</v>
      </c>
      <c r="I25" s="336">
        <f t="shared" si="8"/>
        <v>4.4756712</v>
      </c>
      <c r="J25" s="330">
        <f t="shared" si="9"/>
        <v>0.139864725</v>
      </c>
      <c r="K25" s="337"/>
      <c r="L25" s="337" t="s">
        <v>261</v>
      </c>
      <c r="M25" s="255">
        <f t="shared" ref="M25:M27" si="12">$M$21*2</f>
        <v>2</v>
      </c>
      <c r="N25" s="338">
        <f>$N$21</f>
        <v>0.6</v>
      </c>
      <c r="O25" s="339">
        <f>$O$21</f>
        <v>0.2</v>
      </c>
      <c r="P25" s="340">
        <v>0.0</v>
      </c>
      <c r="Q25" s="341">
        <f>M25*N25*O25</f>
        <v>0.24</v>
      </c>
      <c r="R25" s="342">
        <f t="shared" ref="R25:S25" si="10">$Q$25/2</f>
        <v>0.12</v>
      </c>
      <c r="S25" s="342">
        <f t="shared" si="10"/>
        <v>0.12</v>
      </c>
      <c r="T25" s="321"/>
      <c r="U25" s="343"/>
      <c r="V25" s="255"/>
    </row>
    <row r="26" outlineLevel="1">
      <c r="A26" s="323">
        <f t="shared" si="11"/>
        <v>3</v>
      </c>
      <c r="B26" s="344" t="s">
        <v>225</v>
      </c>
      <c r="C26" s="323" t="str">
        <f>C9</f>
        <v>0.8mm Off white laminate </v>
      </c>
      <c r="D26" s="325" t="s">
        <v>258</v>
      </c>
      <c r="E26" s="326">
        <f>IF(or(C9=Master!C61,C9=Master!C62),B19,C19)</f>
        <v>2.93493915</v>
      </c>
      <c r="F26" s="327">
        <f>vlookup(C26,Master!$C$5:$H$110,6,0)</f>
        <v>750</v>
      </c>
      <c r="G26" s="328">
        <f t="shared" si="7"/>
        <v>2201.204363</v>
      </c>
      <c r="I26" s="336">
        <f t="shared" si="8"/>
        <v>93.9180528</v>
      </c>
      <c r="J26" s="330">
        <f t="shared" si="9"/>
        <v>2.93493915</v>
      </c>
      <c r="K26" s="87"/>
      <c r="L26" s="87" t="s">
        <v>262</v>
      </c>
      <c r="M26" s="255">
        <f t="shared" si="12"/>
        <v>2</v>
      </c>
      <c r="N26" s="345">
        <v>0.0</v>
      </c>
      <c r="O26" s="339">
        <f>O21</f>
        <v>0.2</v>
      </c>
      <c r="P26" s="339">
        <f t="shared" ref="P26:P29" si="13">$P$21</f>
        <v>0.45</v>
      </c>
      <c r="Q26" s="341">
        <f>M26*O26*P26</f>
        <v>0.18</v>
      </c>
      <c r="R26" s="346">
        <f t="shared" ref="R26:R29" si="14">Q26</f>
        <v>0.18</v>
      </c>
      <c r="S26" s="342">
        <v>0.0</v>
      </c>
      <c r="T26" s="321"/>
      <c r="U26" s="343"/>
      <c r="V26" s="255"/>
    </row>
    <row r="27" outlineLevel="1">
      <c r="A27" s="323">
        <f t="shared" si="11"/>
        <v>4</v>
      </c>
      <c r="B27" s="323" t="s">
        <v>263</v>
      </c>
      <c r="C27" s="323" t="str">
        <f>if(or(C26=Master!C57,C26=Master!C58),Master!C67,"NA")</f>
        <v>NA</v>
      </c>
      <c r="D27" s="325" t="s">
        <v>258</v>
      </c>
      <c r="E27" s="347">
        <f>O74</f>
        <v>85.380048</v>
      </c>
      <c r="F27" s="327" t="str">
        <f>ifna(vlookup(C27,Master!$C$5:$H$110,6,0),"")</f>
        <v/>
      </c>
      <c r="G27" s="328">
        <f t="shared" si="7"/>
        <v>0</v>
      </c>
      <c r="K27" s="87"/>
      <c r="L27" s="87" t="s">
        <v>264</v>
      </c>
      <c r="M27" s="255">
        <f t="shared" si="12"/>
        <v>2</v>
      </c>
      <c r="N27" s="338">
        <f>$N$21</f>
        <v>0.6</v>
      </c>
      <c r="O27" s="340">
        <v>0.0</v>
      </c>
      <c r="P27" s="339">
        <f t="shared" si="13"/>
        <v>0.45</v>
      </c>
      <c r="Q27" s="341">
        <f>M27*N27*P27</f>
        <v>0.54</v>
      </c>
      <c r="R27" s="346">
        <f t="shared" si="14"/>
        <v>0.54</v>
      </c>
      <c r="S27" s="342">
        <v>0.0</v>
      </c>
      <c r="T27" s="321"/>
      <c r="U27" s="343"/>
      <c r="V27" s="255"/>
    </row>
    <row r="28" ht="20.25" customHeight="1" outlineLevel="1">
      <c r="A28" s="323">
        <f t="shared" si="11"/>
        <v>5</v>
      </c>
      <c r="B28" s="344" t="s">
        <v>226</v>
      </c>
      <c r="C28" s="323" t="str">
        <f>C10</f>
        <v>SF Laminate </v>
      </c>
      <c r="D28" s="325" t="s">
        <v>258</v>
      </c>
      <c r="E28" s="326">
        <f>IF(or(C10=Master!C61,C10=Master!C62),B20,C20)</f>
        <v>0.710424</v>
      </c>
      <c r="F28" s="327">
        <f>vlookup(C28,Master!$C$5:$H$110,6,0)</f>
        <v>1500</v>
      </c>
      <c r="G28" s="328">
        <f t="shared" si="7"/>
        <v>1065.636</v>
      </c>
      <c r="K28" s="87"/>
      <c r="L28" s="87" t="s">
        <v>265</v>
      </c>
      <c r="M28" s="255">
        <f>$S$21</f>
        <v>0</v>
      </c>
      <c r="N28" s="345">
        <v>0.0</v>
      </c>
      <c r="O28" s="339">
        <f>$O$21</f>
        <v>0.2</v>
      </c>
      <c r="P28" s="339">
        <f t="shared" si="13"/>
        <v>0.45</v>
      </c>
      <c r="Q28" s="341">
        <f>M28*O28*P28</f>
        <v>0</v>
      </c>
      <c r="R28" s="346">
        <f t="shared" si="14"/>
        <v>0</v>
      </c>
      <c r="S28" s="342">
        <v>0.0</v>
      </c>
      <c r="T28" s="321"/>
      <c r="U28" s="333"/>
      <c r="AB28" s="348" t="s">
        <v>245</v>
      </c>
    </row>
    <row r="29" outlineLevel="1">
      <c r="A29" s="323">
        <f t="shared" si="11"/>
        <v>6</v>
      </c>
      <c r="B29" s="324" t="s">
        <v>266</v>
      </c>
      <c r="C29" s="1" t="str">
        <f>if(or(C28=Master!C72,C28=Master!C73),Master!C82,"NA")</f>
        <v>NA</v>
      </c>
      <c r="D29" s="325" t="s">
        <v>258</v>
      </c>
      <c r="E29" s="347">
        <f>O76</f>
        <v>21</v>
      </c>
      <c r="F29" s="327" t="str">
        <f>ifna(vlookup(C29,Master!$C$5:$H$110,6,0),"")</f>
        <v/>
      </c>
      <c r="G29" s="328">
        <f t="shared" si="7"/>
        <v>0</v>
      </c>
      <c r="K29" s="337"/>
      <c r="L29" s="337" t="s">
        <v>267</v>
      </c>
      <c r="M29" s="255">
        <f>$R$21</f>
        <v>0</v>
      </c>
      <c r="N29" s="338">
        <f>$N$21</f>
        <v>0.6</v>
      </c>
      <c r="O29" s="340">
        <v>0.0</v>
      </c>
      <c r="P29" s="339">
        <f t="shared" si="13"/>
        <v>0.45</v>
      </c>
      <c r="Q29" s="341">
        <f>M29*N29*P29</f>
        <v>0</v>
      </c>
      <c r="R29" s="346">
        <f t="shared" si="14"/>
        <v>0</v>
      </c>
      <c r="S29" s="342">
        <v>0.0</v>
      </c>
      <c r="T29" s="321"/>
      <c r="U29" s="333"/>
    </row>
    <row r="30" outlineLevel="1">
      <c r="A30" s="323">
        <f t="shared" si="11"/>
        <v>7</v>
      </c>
      <c r="B30" s="325" t="s">
        <v>268</v>
      </c>
      <c r="C30" s="325" t="s">
        <v>152</v>
      </c>
      <c r="D30" s="325" t="s">
        <v>269</v>
      </c>
      <c r="E30" s="349">
        <f>E25</f>
        <v>0.139864725</v>
      </c>
      <c r="F30" s="327">
        <f>vlookup(C30,Master!$C$5:$H$110,6,0)</f>
        <v>245</v>
      </c>
      <c r="G30" s="328">
        <f t="shared" si="7"/>
        <v>34.26685763</v>
      </c>
      <c r="K30" s="350"/>
      <c r="L30" s="350" t="s">
        <v>270</v>
      </c>
      <c r="M30" s="351">
        <f>T21</f>
        <v>1</v>
      </c>
      <c r="N30" s="352">
        <f t="shared" ref="N30:P30" si="15">S22</f>
        <v>0.6</v>
      </c>
      <c r="O30" s="352">
        <f t="shared" si="15"/>
        <v>1.8</v>
      </c>
      <c r="P30" s="352">
        <f t="shared" si="15"/>
        <v>0.43</v>
      </c>
      <c r="Q30" s="341"/>
      <c r="R30" s="353"/>
      <c r="S30" s="354"/>
      <c r="T30" s="321"/>
      <c r="U30" s="333"/>
    </row>
    <row r="31" outlineLevel="1">
      <c r="A31" s="323">
        <f t="shared" si="11"/>
        <v>8</v>
      </c>
      <c r="B31" s="325" t="s">
        <v>271</v>
      </c>
      <c r="C31" s="325" t="s">
        <v>155</v>
      </c>
      <c r="D31" s="325" t="s">
        <v>258</v>
      </c>
      <c r="E31" s="355">
        <f>H5+H6</f>
        <v>1</v>
      </c>
      <c r="F31" s="327">
        <f>vlookup(C31,Master!$C$5:$H$110,6,0)</f>
        <v>200</v>
      </c>
      <c r="G31" s="328">
        <f t="shared" si="7"/>
        <v>200</v>
      </c>
      <c r="K31" s="87"/>
      <c r="L31" s="87" t="s">
        <v>272</v>
      </c>
      <c r="M31" s="255">
        <f>T21</f>
        <v>1</v>
      </c>
      <c r="N31" s="338">
        <f>$N$30</f>
        <v>0.6</v>
      </c>
      <c r="O31" s="345">
        <v>0.0</v>
      </c>
      <c r="P31" s="338">
        <f t="shared" ref="P31:P32" si="16">$P$30</f>
        <v>0.43</v>
      </c>
      <c r="Q31" s="341">
        <f>M31*N31*P31</f>
        <v>0.258</v>
      </c>
      <c r="R31" s="346">
        <v>0.0</v>
      </c>
      <c r="S31" s="346">
        <f>Q31</f>
        <v>0.258</v>
      </c>
      <c r="T31" s="321"/>
      <c r="U31" s="333"/>
    </row>
    <row r="32" outlineLevel="1">
      <c r="A32" s="323">
        <f t="shared" si="11"/>
        <v>9</v>
      </c>
      <c r="B32" s="325" t="s">
        <v>158</v>
      </c>
      <c r="C32" s="325" t="s">
        <v>162</v>
      </c>
      <c r="D32" s="325" t="s">
        <v>273</v>
      </c>
      <c r="E32" s="355">
        <f t="shared" ref="E32:E33" si="17">H5</f>
        <v>0</v>
      </c>
      <c r="F32" s="327">
        <f>vlookup(C32,Master!$C$5:$H$110,6,0)</f>
        <v>330</v>
      </c>
      <c r="G32" s="328">
        <f t="shared" si="7"/>
        <v>0</v>
      </c>
      <c r="K32" s="87"/>
      <c r="L32" s="337" t="s">
        <v>274</v>
      </c>
      <c r="M32" s="255">
        <f>T21*2</f>
        <v>2</v>
      </c>
      <c r="N32" s="345">
        <v>0.0</v>
      </c>
      <c r="O32" s="338">
        <f t="shared" ref="O32:O33" si="18">$O$30</f>
        <v>1.8</v>
      </c>
      <c r="P32" s="338">
        <f t="shared" si="16"/>
        <v>0.43</v>
      </c>
      <c r="Q32" s="341">
        <f>M32*O32*P32</f>
        <v>1.548</v>
      </c>
      <c r="R32" s="346">
        <f t="shared" ref="R32:R33" si="19">Q32</f>
        <v>1.548</v>
      </c>
      <c r="S32" s="342">
        <v>0.0</v>
      </c>
      <c r="T32" s="321"/>
      <c r="U32" s="333"/>
    </row>
    <row r="33" outlineLevel="1">
      <c r="A33" s="323">
        <f t="shared" si="11"/>
        <v>10</v>
      </c>
      <c r="B33" s="356" t="s">
        <v>164</v>
      </c>
      <c r="C33" s="325" t="s">
        <v>165</v>
      </c>
      <c r="D33" s="325" t="s">
        <v>273</v>
      </c>
      <c r="E33" s="355">
        <f t="shared" si="17"/>
        <v>1</v>
      </c>
      <c r="F33" s="327" t="str">
        <f>VLOOKUP(C33,Master!$D$5:$H$125,5,0)</f>
        <v>#N/A</v>
      </c>
      <c r="G33" s="328" t="str">
        <f t="shared" si="7"/>
        <v>#N/A</v>
      </c>
      <c r="K33" s="87"/>
      <c r="L33" s="337" t="s">
        <v>275</v>
      </c>
      <c r="M33" s="255">
        <f>T21*2</f>
        <v>2</v>
      </c>
      <c r="N33" s="338">
        <f>$N$30</f>
        <v>0.6</v>
      </c>
      <c r="O33" s="338">
        <f t="shared" si="18"/>
        <v>1.8</v>
      </c>
      <c r="P33" s="345">
        <v>0.0</v>
      </c>
      <c r="Q33" s="341">
        <f>M33*N33*O33</f>
        <v>2.16</v>
      </c>
      <c r="R33" s="346">
        <f t="shared" si="19"/>
        <v>2.16</v>
      </c>
      <c r="S33" s="342">
        <v>0.0</v>
      </c>
      <c r="T33" s="321"/>
      <c r="U33" s="333"/>
    </row>
    <row r="34" outlineLevel="1">
      <c r="A34" s="323">
        <f t="shared" si="11"/>
        <v>11</v>
      </c>
      <c r="B34" s="323" t="s">
        <v>276</v>
      </c>
      <c r="C34" s="325" t="s">
        <v>163</v>
      </c>
      <c r="D34" s="325" t="s">
        <v>258</v>
      </c>
      <c r="E34" s="357">
        <v>0.0</v>
      </c>
      <c r="F34" s="327">
        <f>vlookup(C34,Master!$C$5:$H$110,6,0)</f>
        <v>174</v>
      </c>
      <c r="G34" s="328">
        <f t="shared" si="7"/>
        <v>0</v>
      </c>
      <c r="K34" s="87"/>
      <c r="L34" s="87"/>
      <c r="M34" s="255"/>
      <c r="N34" s="87"/>
      <c r="O34" s="358" t="s">
        <v>277</v>
      </c>
      <c r="Q34" s="359">
        <f t="shared" ref="Q34:S34" si="20">SUM(Q25:Q33)</f>
        <v>4.926</v>
      </c>
      <c r="R34" s="359">
        <f t="shared" si="20"/>
        <v>4.548</v>
      </c>
      <c r="S34" s="359">
        <f t="shared" si="20"/>
        <v>0.378</v>
      </c>
      <c r="T34" s="321"/>
      <c r="U34" s="333"/>
    </row>
    <row r="35" outlineLevel="1">
      <c r="A35" s="360">
        <f t="shared" si="11"/>
        <v>12</v>
      </c>
      <c r="B35" s="360" t="s">
        <v>154</v>
      </c>
      <c r="C35" s="360" t="s">
        <v>154</v>
      </c>
      <c r="D35" s="325" t="s">
        <v>269</v>
      </c>
      <c r="E35" s="361">
        <f>H11*0.15</f>
        <v>0.3</v>
      </c>
      <c r="F35" s="327">
        <f>vlookup(C35,Master!$C$5:$H$110,6,0)</f>
        <v>80</v>
      </c>
      <c r="G35" s="328">
        <f t="shared" si="7"/>
        <v>24</v>
      </c>
      <c r="K35" s="87"/>
      <c r="L35" s="87"/>
      <c r="M35" s="255"/>
      <c r="N35" s="87"/>
      <c r="O35" s="358" t="s">
        <v>278</v>
      </c>
      <c r="Q35" s="362">
        <f t="shared" ref="Q35:S35" si="21">Q34*10.764</f>
        <v>53.023464</v>
      </c>
      <c r="R35" s="362">
        <f t="shared" si="21"/>
        <v>48.954672</v>
      </c>
      <c r="S35" s="362">
        <f t="shared" si="21"/>
        <v>4.068792</v>
      </c>
      <c r="T35" s="321"/>
      <c r="U35" s="333"/>
    </row>
    <row r="36" outlineLevel="1">
      <c r="A36" s="323">
        <f t="shared" si="11"/>
        <v>13</v>
      </c>
      <c r="B36" s="323" t="s">
        <v>279</v>
      </c>
      <c r="C36" s="323" t="s">
        <v>145</v>
      </c>
      <c r="D36" s="325" t="s">
        <v>30</v>
      </c>
      <c r="E36" s="357">
        <v>0.0</v>
      </c>
      <c r="F36" s="327">
        <f>VLOOKUP(C36,Master!C68:H81,6,0)</f>
        <v>880</v>
      </c>
      <c r="G36" s="328">
        <f t="shared" si="7"/>
        <v>0</v>
      </c>
      <c r="K36" s="363"/>
      <c r="L36" s="363"/>
      <c r="M36" s="363"/>
      <c r="N36" s="363"/>
      <c r="O36" s="363"/>
      <c r="P36" s="363"/>
      <c r="Q36" s="363"/>
      <c r="R36" s="363"/>
      <c r="S36" s="363"/>
      <c r="T36" s="321"/>
      <c r="U36" s="363"/>
    </row>
    <row r="37" outlineLevel="1">
      <c r="A37" s="360">
        <f t="shared" si="11"/>
        <v>14</v>
      </c>
      <c r="B37" s="364" t="s">
        <v>280</v>
      </c>
      <c r="C37" s="323" t="s">
        <v>210</v>
      </c>
      <c r="D37" s="325" t="s">
        <v>30</v>
      </c>
      <c r="E37" s="357">
        <v>0.0</v>
      </c>
      <c r="F37" s="327">
        <f>VLOOKUP(C37,Master!$C$5:$H$144,6,0)</f>
        <v>120</v>
      </c>
      <c r="G37" s="328">
        <f>(ifs(E37=0,0,E37&gt;=1,(E37*F37)))</f>
        <v>0</v>
      </c>
      <c r="K37" s="363"/>
      <c r="L37" s="363" t="s">
        <v>281</v>
      </c>
      <c r="U37" s="365"/>
    </row>
    <row r="38" outlineLevel="1">
      <c r="A38" s="360">
        <f t="shared" si="11"/>
        <v>15</v>
      </c>
      <c r="B38" s="366"/>
      <c r="C38" s="323" t="s">
        <v>208</v>
      </c>
      <c r="D38" s="325" t="s">
        <v>30</v>
      </c>
      <c r="E38" s="357">
        <v>0.0</v>
      </c>
      <c r="F38" s="327">
        <f>VLOOKUP(C38,Master!$C$5:$H$144,6,0)</f>
        <v>150</v>
      </c>
      <c r="G38" s="328">
        <f t="shared" ref="G38:G40" si="22">F38*E38</f>
        <v>0</v>
      </c>
      <c r="K38" s="367"/>
      <c r="L38" s="367" t="s">
        <v>282</v>
      </c>
      <c r="M38" s="87"/>
      <c r="N38" s="87"/>
      <c r="O38" s="368"/>
      <c r="P38" s="368"/>
      <c r="Q38" s="368"/>
      <c r="R38" s="368"/>
      <c r="S38" s="332"/>
      <c r="T38" s="322"/>
      <c r="U38" s="322"/>
    </row>
    <row r="39" outlineLevel="1">
      <c r="A39" s="360">
        <f t="shared" si="11"/>
        <v>16</v>
      </c>
      <c r="B39" s="369" t="s">
        <v>283</v>
      </c>
      <c r="C39" s="370">
        <v>0.025</v>
      </c>
      <c r="D39" s="325" t="s">
        <v>284</v>
      </c>
      <c r="E39" s="357">
        <v>1.0</v>
      </c>
      <c r="F39" s="371" t="str">
        <f>(sum(G24:G38)*C39)</f>
        <v>#N/A</v>
      </c>
      <c r="G39" s="328" t="str">
        <f t="shared" si="22"/>
        <v>#N/A</v>
      </c>
      <c r="K39" s="337"/>
      <c r="L39" s="337" t="s">
        <v>285</v>
      </c>
      <c r="M39" s="255">
        <f>$M$21*3</f>
        <v>3</v>
      </c>
      <c r="N39" s="338">
        <f>$N$21</f>
        <v>0.6</v>
      </c>
      <c r="O39" s="339">
        <f t="shared" ref="O39:O40" si="23">$O$21</f>
        <v>0.2</v>
      </c>
      <c r="P39" s="340">
        <v>0.0</v>
      </c>
      <c r="Q39" s="341">
        <f>M39*N39*O39</f>
        <v>0.36</v>
      </c>
      <c r="R39" s="368"/>
      <c r="S39" s="332"/>
      <c r="T39" s="322"/>
      <c r="U39" s="322"/>
      <c r="V39" s="322"/>
    </row>
    <row r="40" outlineLevel="1">
      <c r="A40" s="360">
        <f t="shared" si="11"/>
        <v>17</v>
      </c>
      <c r="B40" s="323" t="s">
        <v>286</v>
      </c>
      <c r="C40" s="323" t="s">
        <v>29</v>
      </c>
      <c r="D40" s="325" t="s">
        <v>30</v>
      </c>
      <c r="E40" s="361">
        <f>H11</f>
        <v>2</v>
      </c>
      <c r="F40" s="372">
        <f>VLOOKUP(C40,Master!M5:O12,3,0)</f>
        <v>280</v>
      </c>
      <c r="G40" s="328">
        <f t="shared" si="22"/>
        <v>560</v>
      </c>
      <c r="K40" s="87"/>
      <c r="L40" s="87" t="s">
        <v>262</v>
      </c>
      <c r="M40" s="255">
        <f t="shared" ref="M40:M41" si="24">$M$21*2</f>
        <v>2</v>
      </c>
      <c r="N40" s="345">
        <v>0.0</v>
      </c>
      <c r="O40" s="339">
        <f t="shared" si="23"/>
        <v>0.2</v>
      </c>
      <c r="P40" s="339">
        <f t="shared" ref="P40:P43" si="25">$P$21</f>
        <v>0.45</v>
      </c>
      <c r="Q40" s="341">
        <f>M40*O40*P40</f>
        <v>0.18</v>
      </c>
      <c r="R40" s="368"/>
      <c r="S40" s="332"/>
      <c r="T40" s="322"/>
      <c r="U40" s="322"/>
      <c r="V40" s="322"/>
    </row>
    <row r="41" outlineLevel="1">
      <c r="A41" s="360">
        <f t="shared" si="11"/>
        <v>18</v>
      </c>
      <c r="B41" s="373" t="s">
        <v>287</v>
      </c>
      <c r="C41" s="374"/>
      <c r="D41" s="374"/>
      <c r="E41" s="374"/>
      <c r="F41" s="375">
        <v>0.025</v>
      </c>
      <c r="G41" s="376" t="str">
        <f>SUM(G24:G40)*F41</f>
        <v>#N/A</v>
      </c>
      <c r="J41" s="377"/>
      <c r="K41" s="87"/>
      <c r="L41" s="87" t="s">
        <v>264</v>
      </c>
      <c r="M41" s="255">
        <f t="shared" si="24"/>
        <v>2</v>
      </c>
      <c r="N41" s="338">
        <f>$N$21</f>
        <v>0.6</v>
      </c>
      <c r="O41" s="340">
        <v>0.0</v>
      </c>
      <c r="P41" s="339">
        <f t="shared" si="25"/>
        <v>0.45</v>
      </c>
      <c r="Q41" s="341">
        <f>M41*N41*P41</f>
        <v>0.54</v>
      </c>
      <c r="R41" s="368"/>
      <c r="S41" s="332"/>
      <c r="T41" s="322"/>
      <c r="U41" s="322"/>
      <c r="V41" s="322"/>
    </row>
    <row r="42" outlineLevel="1">
      <c r="A42" s="378" t="s">
        <v>288</v>
      </c>
      <c r="B42" s="100"/>
      <c r="C42" s="100"/>
      <c r="D42" s="100"/>
      <c r="E42" s="98"/>
      <c r="F42" s="379"/>
      <c r="G42" s="380" t="str">
        <f>SUM(G25:G41)</f>
        <v>#N/A</v>
      </c>
      <c r="H42" s="380" t="str">
        <f t="shared" ref="H42:H44" si="26">G42/$H$11</f>
        <v>#N/A</v>
      </c>
      <c r="I42" s="381" t="s">
        <v>289</v>
      </c>
      <c r="J42" s="377"/>
      <c r="K42" s="87"/>
      <c r="L42" s="87" t="s">
        <v>265</v>
      </c>
      <c r="M42" s="255">
        <f>S21*2</f>
        <v>0</v>
      </c>
      <c r="N42" s="345">
        <v>0.0</v>
      </c>
      <c r="O42" s="339">
        <f>$O$21</f>
        <v>0.2</v>
      </c>
      <c r="P42" s="339">
        <f t="shared" si="25"/>
        <v>0.45</v>
      </c>
      <c r="Q42" s="341">
        <f>M42*O42*P42</f>
        <v>0</v>
      </c>
      <c r="R42" s="368"/>
      <c r="S42" s="332"/>
      <c r="T42" s="322"/>
      <c r="U42" s="322"/>
      <c r="V42" s="322"/>
    </row>
    <row r="43" outlineLevel="1">
      <c r="A43" s="378" t="s">
        <v>290</v>
      </c>
      <c r="B43" s="100"/>
      <c r="C43" s="100"/>
      <c r="D43" s="100"/>
      <c r="E43" s="98"/>
      <c r="F43" s="382">
        <v>0.15</v>
      </c>
      <c r="G43" s="383" t="str">
        <f>G42+G42*F43</f>
        <v>#N/A</v>
      </c>
      <c r="H43" s="380" t="str">
        <f t="shared" si="26"/>
        <v>#N/A</v>
      </c>
      <c r="I43" s="381" t="s">
        <v>289</v>
      </c>
      <c r="J43" s="384"/>
      <c r="K43" s="337"/>
      <c r="L43" s="337" t="s">
        <v>267</v>
      </c>
      <c r="M43" s="255">
        <f>R21*2</f>
        <v>0</v>
      </c>
      <c r="N43" s="338">
        <f>$N$21</f>
        <v>0.6</v>
      </c>
      <c r="O43" s="340">
        <v>0.0</v>
      </c>
      <c r="P43" s="339">
        <f t="shared" si="25"/>
        <v>0.45</v>
      </c>
      <c r="Q43" s="341">
        <f>M43*N43*P43</f>
        <v>0</v>
      </c>
      <c r="R43" s="368"/>
      <c r="S43" s="332"/>
      <c r="T43" s="322"/>
      <c r="U43" s="322"/>
      <c r="V43" s="322"/>
    </row>
    <row r="44" outlineLevel="1">
      <c r="A44" s="385" t="s">
        <v>291</v>
      </c>
      <c r="B44" s="100"/>
      <c r="C44" s="100"/>
      <c r="D44" s="100"/>
      <c r="E44" s="98"/>
      <c r="F44" s="382">
        <v>0.4</v>
      </c>
      <c r="G44" s="383" t="str">
        <f>ROUNDUP(G43/(1-F44),0)</f>
        <v>#N/A</v>
      </c>
      <c r="H44" s="380" t="str">
        <f t="shared" si="26"/>
        <v>#N/A</v>
      </c>
      <c r="I44" s="381" t="s">
        <v>289</v>
      </c>
      <c r="J44" s="384"/>
      <c r="K44" s="350"/>
      <c r="L44" s="350" t="s">
        <v>270</v>
      </c>
      <c r="M44" s="351">
        <f>T21</f>
        <v>1</v>
      </c>
      <c r="N44" s="352">
        <f>$S$22</f>
        <v>0.6</v>
      </c>
      <c r="O44" s="352">
        <f>$T$22</f>
        <v>1.8</v>
      </c>
      <c r="P44" s="352">
        <f>$U$22</f>
        <v>0.43</v>
      </c>
      <c r="Q44" s="341"/>
      <c r="R44" s="368"/>
      <c r="S44" s="332"/>
      <c r="T44" s="322"/>
      <c r="U44" s="322"/>
      <c r="V44" s="322"/>
    </row>
    <row r="45" outlineLevel="1">
      <c r="A45" s="1"/>
      <c r="B45" s="96"/>
      <c r="F45" s="386"/>
      <c r="G45" s="368"/>
      <c r="H45" s="368"/>
      <c r="I45" s="368"/>
      <c r="K45" s="87"/>
      <c r="L45" s="87" t="s">
        <v>272</v>
      </c>
      <c r="M45" s="255">
        <f t="shared" ref="M45:M46" si="27">M31*2</f>
        <v>2</v>
      </c>
      <c r="N45" s="338">
        <f>$N$30</f>
        <v>0.6</v>
      </c>
      <c r="O45" s="345">
        <v>0.0</v>
      </c>
      <c r="P45" s="338">
        <f t="shared" ref="P45:P46" si="28">$P$30</f>
        <v>0.43</v>
      </c>
      <c r="Q45" s="341">
        <f>M45*N45*P45</f>
        <v>0.516</v>
      </c>
      <c r="R45" s="368"/>
      <c r="S45" s="332"/>
      <c r="T45" s="322"/>
      <c r="U45" s="322"/>
    </row>
    <row r="46" outlineLevel="1">
      <c r="G46" s="301"/>
      <c r="K46" s="87"/>
      <c r="L46" s="337" t="s">
        <v>274</v>
      </c>
      <c r="M46" s="255">
        <f t="shared" si="27"/>
        <v>4</v>
      </c>
      <c r="N46" s="345">
        <v>0.0</v>
      </c>
      <c r="O46" s="338">
        <f t="shared" ref="O46:O47" si="29">$O$30</f>
        <v>1.8</v>
      </c>
      <c r="P46" s="338">
        <f t="shared" si="28"/>
        <v>0.43</v>
      </c>
      <c r="Q46" s="341">
        <f>M46*O46*P46</f>
        <v>3.096</v>
      </c>
      <c r="R46" s="368"/>
      <c r="S46" s="332"/>
      <c r="T46" s="322"/>
      <c r="U46" s="322"/>
    </row>
    <row r="47" outlineLevel="1">
      <c r="A47" s="87"/>
      <c r="B47" s="87"/>
      <c r="C47" s="87"/>
      <c r="D47" s="87"/>
      <c r="G47" s="301"/>
      <c r="I47" s="87"/>
      <c r="J47" s="87"/>
      <c r="K47" s="87"/>
      <c r="L47" s="337" t="s">
        <v>275</v>
      </c>
      <c r="M47" s="255">
        <f>T21*3</f>
        <v>3</v>
      </c>
      <c r="N47" s="338">
        <f>$N$30</f>
        <v>0.6</v>
      </c>
      <c r="O47" s="338">
        <f t="shared" si="29"/>
        <v>1.8</v>
      </c>
      <c r="P47" s="345">
        <v>0.0</v>
      </c>
      <c r="Q47" s="341">
        <f>M47*N47*O47</f>
        <v>3.24</v>
      </c>
      <c r="R47" s="368"/>
      <c r="S47" s="332"/>
      <c r="T47" s="322"/>
      <c r="U47" s="322"/>
    </row>
    <row r="48" outlineLevel="1">
      <c r="A48" s="87"/>
      <c r="B48" s="87"/>
      <c r="C48" s="87"/>
      <c r="D48" s="87"/>
      <c r="E48" s="87"/>
      <c r="F48" s="87"/>
      <c r="G48" s="368"/>
      <c r="H48" s="87"/>
      <c r="I48" s="87"/>
      <c r="J48" s="87"/>
      <c r="K48" s="87"/>
      <c r="L48" s="87"/>
      <c r="M48" s="87"/>
      <c r="N48" s="87"/>
      <c r="P48" s="387"/>
      <c r="Q48" s="388">
        <f>SUM(Q39:Q47)</f>
        <v>7.932</v>
      </c>
      <c r="R48" s="389" t="s">
        <v>292</v>
      </c>
      <c r="S48" s="332"/>
      <c r="T48" s="322"/>
      <c r="U48" s="322"/>
    </row>
    <row r="49" outlineLevel="1">
      <c r="A49" s="87"/>
      <c r="B49" s="87"/>
      <c r="C49" s="87"/>
      <c r="D49" s="87"/>
      <c r="E49" s="87"/>
      <c r="F49" s="87"/>
      <c r="G49" s="368"/>
      <c r="H49" s="87"/>
      <c r="I49" s="87"/>
      <c r="J49" s="87"/>
      <c r="K49" s="87"/>
      <c r="L49" s="87"/>
      <c r="M49" s="87"/>
      <c r="N49" s="87"/>
      <c r="O49" s="358" t="s">
        <v>293</v>
      </c>
      <c r="Q49" s="362">
        <f>Q48*10.764</f>
        <v>85.380048</v>
      </c>
      <c r="R49" s="390" t="s">
        <v>30</v>
      </c>
      <c r="S49" s="332"/>
      <c r="T49" s="322"/>
      <c r="U49" s="322"/>
    </row>
    <row r="50" outlineLevel="1">
      <c r="A50" s="367"/>
      <c r="B50" s="367"/>
      <c r="C50" s="367"/>
      <c r="D50" s="367"/>
      <c r="E50" s="367"/>
      <c r="F50" s="367"/>
      <c r="G50" s="391"/>
      <c r="H50" s="367"/>
      <c r="I50" s="367"/>
      <c r="J50" s="367"/>
      <c r="K50" s="367"/>
      <c r="L50" s="367" t="s">
        <v>294</v>
      </c>
      <c r="M50" s="87"/>
      <c r="N50" s="87"/>
      <c r="O50" s="368"/>
      <c r="P50" s="368"/>
      <c r="Q50" s="368"/>
      <c r="R50" s="368"/>
      <c r="S50" s="332"/>
      <c r="T50" s="322"/>
      <c r="U50" s="322"/>
    </row>
    <row r="51" outlineLevel="1">
      <c r="A51" s="337"/>
      <c r="B51" s="337"/>
      <c r="C51" s="337"/>
      <c r="D51" s="337"/>
      <c r="E51" s="337"/>
      <c r="F51" s="337"/>
      <c r="G51" s="392"/>
      <c r="H51" s="337"/>
      <c r="I51" s="337"/>
      <c r="J51" s="337"/>
      <c r="K51" s="337"/>
      <c r="L51" s="337" t="s">
        <v>285</v>
      </c>
      <c r="M51" s="255">
        <f>$M$21*1</f>
        <v>1</v>
      </c>
      <c r="N51" s="338">
        <f>$N$21</f>
        <v>0.6</v>
      </c>
      <c r="O51" s="339">
        <f t="shared" ref="O51:O52" si="30">$O$21</f>
        <v>0.2</v>
      </c>
      <c r="P51" s="340">
        <v>0.0</v>
      </c>
      <c r="Q51" s="341">
        <f>M51*N51*O51</f>
        <v>0.12</v>
      </c>
      <c r="R51" s="338"/>
      <c r="S51" s="332">
        <f t="shared" ref="S51:S53" si="31">Q51</f>
        <v>0.12</v>
      </c>
      <c r="T51" s="322"/>
      <c r="U51" s="322"/>
    </row>
    <row r="52" outlineLevel="1">
      <c r="A52" s="87"/>
      <c r="B52" s="87"/>
      <c r="C52" s="87"/>
      <c r="D52" s="87"/>
      <c r="E52" s="87"/>
      <c r="F52" s="87"/>
      <c r="G52" s="368"/>
      <c r="H52" s="87"/>
      <c r="I52" s="87"/>
      <c r="J52" s="87"/>
      <c r="K52" s="87"/>
      <c r="L52" s="87" t="s">
        <v>262</v>
      </c>
      <c r="M52" s="255">
        <f t="shared" ref="M52:M53" si="32">$M$21*2</f>
        <v>2</v>
      </c>
      <c r="N52" s="345">
        <v>0.0</v>
      </c>
      <c r="O52" s="339">
        <f t="shared" si="30"/>
        <v>0.2</v>
      </c>
      <c r="P52" s="339">
        <f t="shared" ref="P52:P55" si="33">$P$21</f>
        <v>0.45</v>
      </c>
      <c r="Q52" s="341">
        <f>M52*O52*P52</f>
        <v>0.18</v>
      </c>
      <c r="R52" s="338"/>
      <c r="S52" s="338">
        <f t="shared" si="31"/>
        <v>0.18</v>
      </c>
      <c r="T52" s="322"/>
      <c r="U52" s="322"/>
    </row>
    <row r="53" outlineLevel="1">
      <c r="A53" s="87"/>
      <c r="B53" s="337"/>
      <c r="C53" s="87"/>
      <c r="D53" s="87"/>
      <c r="E53" s="87"/>
      <c r="F53" s="87"/>
      <c r="G53" s="368"/>
      <c r="H53" s="87"/>
      <c r="I53" s="87"/>
      <c r="J53" s="87"/>
      <c r="K53" s="87"/>
      <c r="L53" s="87" t="s">
        <v>264</v>
      </c>
      <c r="M53" s="255">
        <f t="shared" si="32"/>
        <v>2</v>
      </c>
      <c r="N53" s="338">
        <f>$N$21</f>
        <v>0.6</v>
      </c>
      <c r="O53" s="340">
        <v>0.0</v>
      </c>
      <c r="P53" s="339">
        <f t="shared" si="33"/>
        <v>0.45</v>
      </c>
      <c r="Q53" s="341">
        <f>M53*N53*P53</f>
        <v>0.54</v>
      </c>
      <c r="R53" s="338"/>
      <c r="S53" s="338">
        <f t="shared" si="31"/>
        <v>0.54</v>
      </c>
      <c r="T53" s="322"/>
      <c r="U53" s="322"/>
    </row>
    <row r="54" outlineLevel="1">
      <c r="A54" s="87"/>
      <c r="B54" s="87"/>
      <c r="C54" s="87"/>
      <c r="D54" s="87"/>
      <c r="E54" s="87"/>
      <c r="F54" s="87"/>
      <c r="G54" s="368"/>
      <c r="H54" s="87"/>
      <c r="I54" s="87"/>
      <c r="J54" s="87"/>
      <c r="K54" s="87"/>
      <c r="L54" s="87" t="s">
        <v>265</v>
      </c>
      <c r="M54" s="393">
        <v>0.0</v>
      </c>
      <c r="N54" s="345">
        <v>0.0</v>
      </c>
      <c r="O54" s="339">
        <f>$O$21</f>
        <v>0.2</v>
      </c>
      <c r="P54" s="339">
        <f t="shared" si="33"/>
        <v>0.45</v>
      </c>
      <c r="Q54" s="341">
        <f>M54*O54*P54</f>
        <v>0</v>
      </c>
      <c r="S54" s="368">
        <f t="shared" ref="S54:S55" si="34">Q54/2</f>
        <v>0</v>
      </c>
      <c r="T54" s="322"/>
      <c r="U54" s="322"/>
    </row>
    <row r="55" outlineLevel="1">
      <c r="A55" s="337"/>
      <c r="B55" s="96"/>
      <c r="C55" s="87"/>
      <c r="D55" s="337"/>
      <c r="E55" s="337"/>
      <c r="F55" s="337"/>
      <c r="G55" s="392"/>
      <c r="H55" s="337"/>
      <c r="I55" s="337"/>
      <c r="J55" s="337"/>
      <c r="K55" s="337"/>
      <c r="L55" s="337" t="s">
        <v>267</v>
      </c>
      <c r="M55" s="393">
        <v>0.0</v>
      </c>
      <c r="N55" s="338">
        <f>$N$21</f>
        <v>0.6</v>
      </c>
      <c r="O55" s="340">
        <v>0.0</v>
      </c>
      <c r="P55" s="339">
        <f t="shared" si="33"/>
        <v>0.45</v>
      </c>
      <c r="Q55" s="341">
        <f>M55*N55*P55</f>
        <v>0</v>
      </c>
      <c r="S55" s="368">
        <f t="shared" si="34"/>
        <v>0</v>
      </c>
      <c r="T55" s="322"/>
      <c r="U55" s="322"/>
    </row>
    <row r="56" outlineLevel="1">
      <c r="A56" s="350"/>
      <c r="B56" s="350"/>
      <c r="C56" s="350"/>
      <c r="D56" s="350"/>
      <c r="E56" s="350"/>
      <c r="F56" s="350"/>
      <c r="G56" s="394"/>
      <c r="H56" s="350"/>
      <c r="I56" s="350"/>
      <c r="J56" s="350"/>
      <c r="K56" s="350"/>
      <c r="L56" s="350" t="s">
        <v>270</v>
      </c>
      <c r="M56" s="351">
        <f>T21</f>
        <v>1</v>
      </c>
      <c r="N56" s="352">
        <f>$S$22</f>
        <v>0.6</v>
      </c>
      <c r="O56" s="352">
        <f>$T$22</f>
        <v>1.8</v>
      </c>
      <c r="P56" s="352">
        <f>$U$22</f>
        <v>0.43</v>
      </c>
      <c r="Q56" s="341"/>
      <c r="S56" s="368"/>
      <c r="T56" s="322"/>
      <c r="U56" s="322"/>
    </row>
    <row r="57" outlineLevel="1">
      <c r="A57" s="87"/>
      <c r="B57" s="87"/>
      <c r="C57" s="87"/>
      <c r="D57" s="87"/>
      <c r="E57" s="87"/>
      <c r="F57" s="87"/>
      <c r="G57" s="368"/>
      <c r="H57" s="87"/>
      <c r="I57" s="87"/>
      <c r="J57" s="87"/>
      <c r="K57" s="87"/>
      <c r="L57" s="87" t="s">
        <v>272</v>
      </c>
      <c r="M57" s="393">
        <v>0.0</v>
      </c>
      <c r="N57" s="338">
        <f>$N$30</f>
        <v>0.6</v>
      </c>
      <c r="O57" s="345">
        <v>0.0</v>
      </c>
      <c r="P57" s="338">
        <f t="shared" ref="P57:P58" si="35">$P$30</f>
        <v>0.43</v>
      </c>
      <c r="Q57" s="341">
        <f>M57*N57*P57</f>
        <v>0</v>
      </c>
      <c r="S57" s="392">
        <v>0.0</v>
      </c>
      <c r="T57" s="322"/>
      <c r="U57" s="322"/>
    </row>
    <row r="58" outlineLevel="1">
      <c r="A58" s="87"/>
      <c r="B58" s="87"/>
      <c r="C58" s="87"/>
      <c r="D58" s="87"/>
      <c r="E58" s="87"/>
      <c r="F58" s="87"/>
      <c r="G58" s="368"/>
      <c r="H58" s="87"/>
      <c r="I58" s="87"/>
      <c r="J58" s="87"/>
      <c r="K58" s="87"/>
      <c r="L58" s="337" t="s">
        <v>274</v>
      </c>
      <c r="M58" s="393">
        <v>0.0</v>
      </c>
      <c r="N58" s="345">
        <v>0.0</v>
      </c>
      <c r="O58" s="338">
        <f t="shared" ref="O58:O59" si="36">$O$30</f>
        <v>1.8</v>
      </c>
      <c r="P58" s="338">
        <f t="shared" si="35"/>
        <v>0.43</v>
      </c>
      <c r="Q58" s="341">
        <f>M58*O58*P58</f>
        <v>0</v>
      </c>
      <c r="S58" s="392">
        <v>0.0</v>
      </c>
      <c r="T58" s="322"/>
      <c r="U58" s="322"/>
    </row>
    <row r="59" outlineLevel="1">
      <c r="A59" s="87"/>
      <c r="B59" s="87"/>
      <c r="C59" s="87"/>
      <c r="D59" s="87"/>
      <c r="E59" s="87"/>
      <c r="F59" s="87"/>
      <c r="G59" s="368"/>
      <c r="H59" s="87"/>
      <c r="I59" s="87"/>
      <c r="J59" s="87"/>
      <c r="K59" s="87"/>
      <c r="L59" s="337" t="s">
        <v>275</v>
      </c>
      <c r="M59" s="255">
        <f>T21</f>
        <v>1</v>
      </c>
      <c r="N59" s="338">
        <f>$N$30</f>
        <v>0.6</v>
      </c>
      <c r="O59" s="338">
        <f t="shared" si="36"/>
        <v>1.8</v>
      </c>
      <c r="P59" s="345">
        <v>0.0</v>
      </c>
      <c r="Q59" s="341">
        <f>M59*N59*O59</f>
        <v>1.08</v>
      </c>
      <c r="S59" s="392">
        <f>Q59</f>
        <v>1.08</v>
      </c>
      <c r="T59" s="322"/>
      <c r="U59" s="322"/>
    </row>
    <row r="60" outlineLevel="1">
      <c r="A60" s="87"/>
      <c r="B60" s="87"/>
      <c r="D60" s="87"/>
      <c r="E60" s="87"/>
      <c r="F60" s="87"/>
      <c r="G60" s="368"/>
      <c r="H60" s="87"/>
      <c r="I60" s="87"/>
      <c r="J60" s="87"/>
      <c r="K60" s="87"/>
      <c r="L60" s="87"/>
      <c r="M60" s="87"/>
      <c r="N60" s="87"/>
      <c r="P60" s="387"/>
      <c r="Q60" s="388">
        <f>SUM(Q51:Q59)</f>
        <v>1.92</v>
      </c>
      <c r="R60" s="389" t="s">
        <v>292</v>
      </c>
      <c r="S60" s="332">
        <f>SUM(S51:S59)</f>
        <v>1.92</v>
      </c>
      <c r="T60" s="389" t="s">
        <v>292</v>
      </c>
      <c r="U60" s="322"/>
    </row>
    <row r="61" outlineLevel="1">
      <c r="A61" s="87"/>
      <c r="B61" s="337"/>
      <c r="D61" s="87"/>
      <c r="E61" s="87"/>
      <c r="F61" s="87"/>
      <c r="G61" s="368"/>
      <c r="H61" s="87"/>
      <c r="I61" s="87"/>
      <c r="J61" s="87"/>
      <c r="K61" s="87"/>
      <c r="L61" s="87"/>
      <c r="M61" s="87"/>
      <c r="N61" s="87"/>
      <c r="O61" s="358" t="s">
        <v>293</v>
      </c>
      <c r="Q61" s="362">
        <f>Q60*10.764</f>
        <v>20.66688</v>
      </c>
      <c r="R61" s="390" t="s">
        <v>30</v>
      </c>
      <c r="S61" s="362">
        <f>S60*10.764</f>
        <v>20.66688</v>
      </c>
      <c r="T61" s="390" t="s">
        <v>30</v>
      </c>
      <c r="U61" s="322"/>
    </row>
    <row r="62" outlineLevel="1">
      <c r="A62" s="87"/>
      <c r="B62" s="87"/>
      <c r="D62" s="87"/>
      <c r="E62" s="87"/>
      <c r="F62" s="87"/>
      <c r="G62" s="368"/>
      <c r="H62" s="87"/>
      <c r="I62" s="87"/>
      <c r="J62" s="87"/>
      <c r="K62" s="87"/>
      <c r="L62" s="87"/>
      <c r="M62" s="87"/>
      <c r="N62" s="87"/>
      <c r="O62" s="368"/>
      <c r="P62" s="368"/>
      <c r="Q62" s="368"/>
      <c r="R62" s="368"/>
      <c r="S62" s="332"/>
      <c r="T62" s="322"/>
      <c r="U62" s="322"/>
    </row>
    <row r="63" outlineLevel="1">
      <c r="A63" s="337"/>
      <c r="B63" s="96"/>
      <c r="D63" s="337"/>
      <c r="E63" s="337"/>
      <c r="F63" s="337"/>
      <c r="G63" s="392"/>
      <c r="H63" s="337"/>
      <c r="I63" s="337"/>
      <c r="J63" s="337"/>
      <c r="K63" s="337"/>
      <c r="L63" s="337"/>
      <c r="M63" s="87"/>
      <c r="N63" s="87"/>
      <c r="O63" s="368"/>
      <c r="P63" s="368"/>
      <c r="Q63" s="368"/>
      <c r="R63" s="368"/>
      <c r="S63" s="332"/>
      <c r="T63" s="322"/>
      <c r="U63" s="322"/>
    </row>
    <row r="64" outlineLevel="1">
      <c r="A64" s="87"/>
      <c r="B64" s="87"/>
      <c r="C64" s="87"/>
      <c r="D64" s="87"/>
      <c r="E64" s="87"/>
      <c r="F64" s="87"/>
      <c r="G64" s="368"/>
      <c r="H64" s="87"/>
      <c r="I64" s="87"/>
      <c r="J64" s="87"/>
      <c r="K64" s="87"/>
      <c r="L64" s="87"/>
      <c r="M64" s="87"/>
      <c r="N64" s="87"/>
      <c r="O64" s="368"/>
      <c r="P64" s="368"/>
      <c r="Q64" s="368"/>
      <c r="R64" s="368"/>
      <c r="S64" s="332"/>
      <c r="T64" s="322"/>
      <c r="U64" s="322"/>
    </row>
    <row r="65" outlineLevel="1">
      <c r="A65" s="87"/>
      <c r="B65" s="87"/>
      <c r="C65" s="87"/>
      <c r="D65" s="87"/>
      <c r="E65" s="87"/>
      <c r="F65" s="87"/>
      <c r="G65" s="368"/>
      <c r="H65" s="87"/>
      <c r="I65" s="87"/>
      <c r="J65" s="87"/>
      <c r="K65" s="87"/>
      <c r="L65" s="87"/>
      <c r="M65" s="337"/>
      <c r="N65" s="87"/>
      <c r="O65" s="368"/>
      <c r="P65" s="368"/>
      <c r="Q65" s="368"/>
      <c r="R65" s="368"/>
      <c r="S65" s="332"/>
      <c r="T65" s="322"/>
      <c r="U65" s="322"/>
    </row>
    <row r="66" outlineLevel="1">
      <c r="A66" s="87"/>
      <c r="B66" s="87"/>
      <c r="C66" s="87"/>
      <c r="D66" s="87"/>
      <c r="E66" s="87"/>
      <c r="F66" s="87"/>
      <c r="G66" s="368"/>
      <c r="H66" s="87"/>
      <c r="I66" s="87"/>
      <c r="J66" s="87"/>
      <c r="K66" s="87"/>
      <c r="L66" s="87"/>
      <c r="M66" s="87"/>
      <c r="N66" s="87"/>
      <c r="O66" s="368"/>
      <c r="P66" s="368"/>
      <c r="Q66" s="368"/>
      <c r="R66" s="368"/>
      <c r="S66" s="368"/>
      <c r="T66" s="333"/>
      <c r="U66" s="333"/>
    </row>
    <row r="67" outlineLevel="1">
      <c r="A67" s="87"/>
      <c r="B67" s="87"/>
      <c r="C67" s="87"/>
      <c r="D67" s="87"/>
      <c r="E67" s="87"/>
      <c r="F67" s="87"/>
      <c r="G67" s="368"/>
      <c r="H67" s="87"/>
      <c r="I67" s="87"/>
      <c r="J67" s="87"/>
      <c r="K67" s="87"/>
      <c r="L67" s="87"/>
      <c r="M67" s="87"/>
      <c r="N67" s="87"/>
      <c r="O67" s="368"/>
      <c r="P67" s="368"/>
      <c r="Q67" s="368"/>
      <c r="R67" s="368"/>
      <c r="S67" s="368"/>
      <c r="T67" s="333"/>
      <c r="U67" s="333"/>
    </row>
    <row r="68" outlineLevel="1">
      <c r="A68" s="87"/>
      <c r="B68" s="87"/>
      <c r="C68" s="87"/>
      <c r="D68" s="87"/>
      <c r="E68" s="87"/>
      <c r="F68" s="87"/>
      <c r="G68" s="368"/>
      <c r="H68" s="87"/>
      <c r="I68" s="87"/>
      <c r="J68" s="87"/>
      <c r="K68" s="87"/>
      <c r="L68" s="87"/>
      <c r="M68" s="87"/>
      <c r="N68" s="87"/>
      <c r="O68" s="368"/>
      <c r="P68" s="368"/>
      <c r="Q68" s="368"/>
      <c r="R68" s="368"/>
      <c r="S68" s="368"/>
      <c r="T68" s="333"/>
      <c r="U68" s="333"/>
    </row>
    <row r="69" outlineLevel="1">
      <c r="A69" s="87"/>
      <c r="B69" s="87"/>
      <c r="C69" s="87"/>
      <c r="D69" s="87"/>
      <c r="E69" s="87"/>
      <c r="F69" s="87"/>
      <c r="G69" s="368"/>
      <c r="H69" s="87"/>
      <c r="I69" s="87"/>
      <c r="J69" s="87"/>
      <c r="K69" s="87"/>
      <c r="L69" s="87"/>
      <c r="M69" s="87"/>
      <c r="N69" s="87"/>
      <c r="O69" s="368"/>
      <c r="P69" s="332"/>
      <c r="Q69" s="332"/>
      <c r="R69" s="368"/>
      <c r="S69" s="332"/>
      <c r="T69" s="322"/>
      <c r="U69" s="322"/>
    </row>
    <row r="70" outlineLevel="1">
      <c r="A70" s="87"/>
      <c r="B70" s="87"/>
      <c r="C70" s="87"/>
      <c r="D70" s="87"/>
      <c r="E70" s="87"/>
      <c r="F70" s="87"/>
      <c r="G70" s="368"/>
      <c r="H70" s="87"/>
      <c r="I70" s="87"/>
      <c r="J70" s="87"/>
      <c r="K70" s="87"/>
      <c r="L70" s="395" t="s">
        <v>295</v>
      </c>
      <c r="M70" s="98"/>
      <c r="N70" s="396" t="s">
        <v>296</v>
      </c>
      <c r="O70" s="397" t="s">
        <v>297</v>
      </c>
      <c r="P70" s="397" t="s">
        <v>298</v>
      </c>
      <c r="Q70" s="397" t="s">
        <v>299</v>
      </c>
      <c r="R70" s="368"/>
      <c r="S70" s="339"/>
      <c r="T70" s="322"/>
      <c r="U70" s="322"/>
    </row>
    <row r="71" outlineLevel="1">
      <c r="A71" s="87"/>
      <c r="B71" s="87"/>
      <c r="C71" s="87"/>
      <c r="D71" s="87"/>
      <c r="E71" s="87"/>
      <c r="F71" s="87"/>
      <c r="G71" s="368"/>
      <c r="H71" s="87"/>
      <c r="I71" s="87"/>
      <c r="J71" s="87"/>
      <c r="K71" s="87"/>
      <c r="L71" s="398" t="s">
        <v>222</v>
      </c>
      <c r="M71" s="98"/>
      <c r="N71" s="399">
        <f>R35</f>
        <v>48.954672</v>
      </c>
      <c r="O71" s="399">
        <f t="shared" ref="O71:O73" si="37">N71*1.1</f>
        <v>53.8501392</v>
      </c>
      <c r="P71" s="400">
        <f t="shared" ref="P71:P73" si="38">O71/32</f>
        <v>1.68281685</v>
      </c>
      <c r="Q71" s="400">
        <f t="shared" ref="Q71:Q73" si="39">if($C$13="Yes",ceiling(P71,1),P71)</f>
        <v>2</v>
      </c>
      <c r="R71" s="368"/>
      <c r="S71" s="332"/>
      <c r="T71" s="322"/>
      <c r="U71" s="322"/>
    </row>
    <row r="72" outlineLevel="1">
      <c r="A72" s="87"/>
      <c r="B72" s="87"/>
      <c r="C72" s="87"/>
      <c r="D72" s="87"/>
      <c r="E72" s="87"/>
      <c r="F72" s="87"/>
      <c r="G72" s="368"/>
      <c r="H72" s="87"/>
      <c r="I72" s="87"/>
      <c r="J72" s="87"/>
      <c r="K72" s="87"/>
      <c r="L72" s="401" t="s">
        <v>223</v>
      </c>
      <c r="M72" s="98"/>
      <c r="N72" s="399">
        <f>S35</f>
        <v>4.068792</v>
      </c>
      <c r="O72" s="399">
        <f t="shared" si="37"/>
        <v>4.4756712</v>
      </c>
      <c r="P72" s="400">
        <f t="shared" si="38"/>
        <v>0.139864725</v>
      </c>
      <c r="Q72" s="400">
        <f t="shared" si="39"/>
        <v>1</v>
      </c>
      <c r="R72" s="368"/>
      <c r="S72" s="332"/>
      <c r="T72" s="322"/>
      <c r="U72" s="322"/>
    </row>
    <row r="73" outlineLevel="1">
      <c r="A73" s="87"/>
      <c r="B73" s="87"/>
      <c r="C73" s="87"/>
      <c r="D73" s="87"/>
      <c r="E73" s="87"/>
      <c r="F73" s="87"/>
      <c r="G73" s="368"/>
      <c r="H73" s="87"/>
      <c r="I73" s="87"/>
      <c r="J73" s="87"/>
      <c r="K73" s="87"/>
      <c r="L73" s="401" t="s">
        <v>225</v>
      </c>
      <c r="M73" s="98"/>
      <c r="N73" s="399">
        <f>Q49</f>
        <v>85.380048</v>
      </c>
      <c r="O73" s="399">
        <f t="shared" si="37"/>
        <v>93.9180528</v>
      </c>
      <c r="P73" s="400">
        <f t="shared" si="38"/>
        <v>2.93493915</v>
      </c>
      <c r="Q73" s="400">
        <f t="shared" si="39"/>
        <v>3</v>
      </c>
      <c r="R73" s="368"/>
      <c r="S73" s="332"/>
      <c r="T73" s="322"/>
      <c r="U73" s="322"/>
    </row>
    <row r="74" outlineLevel="1">
      <c r="A74" s="87"/>
      <c r="B74" s="87"/>
      <c r="C74" s="87"/>
      <c r="D74" s="87"/>
      <c r="E74" s="87"/>
      <c r="F74" s="87"/>
      <c r="G74" s="368"/>
      <c r="H74" s="87"/>
      <c r="I74" s="87"/>
      <c r="J74" s="87"/>
      <c r="K74" s="87"/>
      <c r="L74" s="401" t="s">
        <v>300</v>
      </c>
      <c r="M74" s="98"/>
      <c r="N74" s="402">
        <f>N73</f>
        <v>85.380048</v>
      </c>
      <c r="O74" s="399">
        <f>N74</f>
        <v>85.380048</v>
      </c>
      <c r="P74" s="403" t="s">
        <v>301</v>
      </c>
      <c r="Q74" s="403" t="s">
        <v>301</v>
      </c>
      <c r="R74" s="368"/>
      <c r="S74" s="332"/>
      <c r="T74" s="322"/>
      <c r="U74" s="322"/>
    </row>
    <row r="75" outlineLevel="1">
      <c r="A75" s="87"/>
      <c r="B75" s="87"/>
      <c r="C75" s="87"/>
      <c r="D75" s="87"/>
      <c r="E75" s="87"/>
      <c r="F75" s="87"/>
      <c r="G75" s="368"/>
      <c r="H75" s="87"/>
      <c r="I75" s="87"/>
      <c r="J75" s="87"/>
      <c r="K75" s="87"/>
      <c r="L75" s="401" t="s">
        <v>226</v>
      </c>
      <c r="M75" s="98"/>
      <c r="N75" s="399">
        <f>Q61</f>
        <v>20.66688</v>
      </c>
      <c r="O75" s="399">
        <f>N75*1.1</f>
        <v>22.733568</v>
      </c>
      <c r="P75" s="400">
        <f>O75/32</f>
        <v>0.710424</v>
      </c>
      <c r="Q75" s="400">
        <f>if($C$13="Yes",ceiling(P75,1),P75)</f>
        <v>1</v>
      </c>
      <c r="R75" s="368"/>
      <c r="S75" s="332"/>
      <c r="T75" s="322"/>
      <c r="U75" s="322"/>
    </row>
    <row r="76" outlineLevel="1">
      <c r="A76" s="87"/>
      <c r="B76" s="87"/>
      <c r="C76" s="87"/>
      <c r="D76" s="87"/>
      <c r="E76" s="87"/>
      <c r="F76" s="87"/>
      <c r="G76" s="368"/>
      <c r="H76" s="87"/>
      <c r="I76" s="87"/>
      <c r="J76" s="87"/>
      <c r="K76" s="87"/>
      <c r="L76" s="401" t="s">
        <v>266</v>
      </c>
      <c r="M76" s="98"/>
      <c r="N76" s="399">
        <f>S61</f>
        <v>20.66688</v>
      </c>
      <c r="O76" s="399">
        <f>roundup(N76,0)</f>
        <v>21</v>
      </c>
      <c r="P76" s="399" t="s">
        <v>301</v>
      </c>
      <c r="Q76" s="399" t="s">
        <v>301</v>
      </c>
      <c r="R76" s="368"/>
      <c r="S76" s="332"/>
      <c r="T76" s="322"/>
      <c r="U76" s="322"/>
    </row>
    <row r="77" outlineLevel="1">
      <c r="A77" s="87"/>
      <c r="B77" s="87"/>
      <c r="C77" s="87"/>
      <c r="D77" s="87"/>
      <c r="E77" s="87"/>
      <c r="F77" s="87"/>
      <c r="G77" s="368"/>
      <c r="H77" s="87"/>
      <c r="I77" s="87"/>
      <c r="J77" s="87"/>
      <c r="K77" s="87"/>
      <c r="L77" s="87"/>
      <c r="M77" s="87"/>
      <c r="N77" s="87"/>
      <c r="O77" s="368"/>
      <c r="P77" s="368"/>
      <c r="Q77" s="368"/>
      <c r="R77" s="368"/>
      <c r="S77" s="368"/>
      <c r="T77" s="333"/>
      <c r="U77" s="404"/>
    </row>
    <row r="78" outlineLevel="1">
      <c r="A78" s="405"/>
      <c r="B78" s="405"/>
      <c r="C78" s="405"/>
      <c r="D78" s="405"/>
      <c r="E78" s="405"/>
      <c r="F78" s="405"/>
      <c r="G78" s="406"/>
      <c r="H78" s="405"/>
      <c r="I78" s="405"/>
      <c r="J78" s="405"/>
      <c r="K78" s="405"/>
      <c r="L78" s="407"/>
      <c r="M78" s="87"/>
      <c r="N78" s="87"/>
      <c r="O78" s="408"/>
      <c r="P78" s="368"/>
      <c r="Q78" s="368"/>
      <c r="R78" s="368"/>
      <c r="S78" s="368"/>
      <c r="T78" s="333"/>
      <c r="U78" s="333"/>
    </row>
    <row r="79" outlineLevel="1">
      <c r="A79" s="87"/>
      <c r="B79" s="87"/>
      <c r="C79" s="87"/>
      <c r="D79" s="87"/>
      <c r="E79" s="87"/>
      <c r="F79" s="87"/>
      <c r="G79" s="368"/>
      <c r="H79" s="87"/>
      <c r="I79" s="87"/>
      <c r="J79" s="87"/>
      <c r="K79" s="87"/>
      <c r="L79" s="87"/>
      <c r="M79" s="87"/>
      <c r="N79" s="87"/>
      <c r="O79" s="368"/>
      <c r="P79" s="368"/>
      <c r="Q79" s="368"/>
      <c r="R79" s="368"/>
      <c r="S79" s="409"/>
      <c r="T79" s="404"/>
      <c r="U79" s="404"/>
    </row>
    <row r="80">
      <c r="A80" s="87"/>
      <c r="B80" s="87"/>
      <c r="C80" s="87"/>
      <c r="D80" s="87"/>
      <c r="E80" s="87"/>
      <c r="F80" s="87"/>
      <c r="G80" s="368"/>
      <c r="H80" s="87"/>
      <c r="I80" s="87"/>
      <c r="J80" s="87"/>
      <c r="K80" s="87"/>
      <c r="L80" s="87"/>
      <c r="M80" s="407"/>
      <c r="N80" s="410"/>
      <c r="O80" s="368"/>
      <c r="P80" s="368"/>
      <c r="Q80" s="368"/>
      <c r="R80" s="368"/>
      <c r="S80" s="409"/>
      <c r="T80" s="404"/>
      <c r="U80" s="404"/>
    </row>
    <row r="81">
      <c r="A81" s="87"/>
      <c r="B81" s="87"/>
      <c r="C81" s="87"/>
      <c r="D81" s="87"/>
      <c r="E81" s="87"/>
      <c r="F81" s="87"/>
      <c r="G81" s="368"/>
      <c r="H81" s="87"/>
      <c r="I81" s="87"/>
      <c r="J81" s="87"/>
      <c r="K81" s="87"/>
      <c r="L81" s="87"/>
      <c r="M81" s="407"/>
      <c r="N81" s="87"/>
      <c r="O81" s="368"/>
      <c r="P81" s="368"/>
      <c r="Q81" s="368"/>
      <c r="R81" s="368"/>
      <c r="S81" s="409"/>
      <c r="T81" s="404"/>
      <c r="U81" s="404"/>
    </row>
    <row r="82">
      <c r="A82" s="87"/>
      <c r="B82" s="87"/>
      <c r="C82" s="87"/>
      <c r="D82" s="87"/>
      <c r="E82" s="87"/>
      <c r="F82" s="87"/>
      <c r="G82" s="368"/>
      <c r="H82" s="87"/>
      <c r="I82" s="87"/>
      <c r="J82" s="87"/>
      <c r="K82" s="87"/>
      <c r="L82" s="87"/>
      <c r="M82" s="87"/>
      <c r="N82" s="87"/>
      <c r="O82" s="368"/>
      <c r="P82" s="368"/>
      <c r="Q82" s="368"/>
      <c r="R82" s="368"/>
      <c r="S82" s="332"/>
      <c r="T82" s="404"/>
      <c r="U82" s="404"/>
    </row>
    <row r="83">
      <c r="A83" s="405"/>
      <c r="B83" s="405"/>
      <c r="C83" s="405"/>
      <c r="D83" s="405"/>
      <c r="E83" s="405"/>
      <c r="F83" s="405"/>
      <c r="G83" s="406"/>
      <c r="H83" s="405"/>
      <c r="I83" s="405"/>
      <c r="J83" s="405"/>
      <c r="K83" s="405"/>
      <c r="L83" s="407"/>
      <c r="M83" s="87"/>
      <c r="N83" s="87"/>
      <c r="O83" s="368"/>
      <c r="P83" s="368"/>
      <c r="Q83" s="368"/>
      <c r="R83" s="368"/>
      <c r="S83" s="368"/>
      <c r="T83" s="333"/>
      <c r="U83" s="333"/>
    </row>
    <row r="84">
      <c r="A84" s="87"/>
      <c r="B84" s="87"/>
      <c r="C84" s="87"/>
      <c r="D84" s="87"/>
      <c r="E84" s="87"/>
      <c r="F84" s="87"/>
      <c r="G84" s="368"/>
      <c r="H84" s="87"/>
      <c r="I84" s="87"/>
      <c r="J84" s="87"/>
      <c r="K84" s="87"/>
      <c r="L84" s="87"/>
      <c r="M84" s="407"/>
      <c r="N84" s="87"/>
      <c r="O84" s="368"/>
      <c r="P84" s="368"/>
      <c r="Q84" s="368"/>
      <c r="R84" s="368"/>
      <c r="S84" s="332"/>
      <c r="T84" s="404"/>
      <c r="U84" s="404"/>
    </row>
    <row r="85">
      <c r="A85" s="87"/>
      <c r="B85" s="87"/>
      <c r="C85" s="87"/>
      <c r="D85" s="87"/>
      <c r="E85" s="87"/>
      <c r="F85" s="87"/>
      <c r="G85" s="368"/>
      <c r="H85" s="87"/>
      <c r="I85" s="87"/>
      <c r="J85" s="87"/>
      <c r="K85" s="87"/>
      <c r="L85" s="87"/>
      <c r="M85" s="87"/>
      <c r="N85" s="87"/>
      <c r="O85" s="368"/>
      <c r="P85" s="368"/>
      <c r="Q85" s="368"/>
      <c r="R85" s="368"/>
      <c r="S85" s="368"/>
      <c r="T85" s="333"/>
      <c r="U85" s="333"/>
    </row>
    <row r="86">
      <c r="A86" s="87"/>
      <c r="B86" s="87"/>
      <c r="C86" s="87"/>
      <c r="D86" s="87"/>
      <c r="E86" s="87"/>
      <c r="F86" s="87"/>
      <c r="G86" s="368"/>
      <c r="H86" s="87"/>
      <c r="I86" s="87"/>
      <c r="J86" s="87"/>
      <c r="K86" s="87"/>
      <c r="L86" s="87"/>
      <c r="M86" s="407"/>
      <c r="N86" s="87"/>
      <c r="O86" s="368"/>
      <c r="P86" s="368"/>
      <c r="Q86" s="368"/>
      <c r="R86" s="368"/>
      <c r="S86" s="368"/>
      <c r="T86" s="333"/>
      <c r="U86" s="322"/>
    </row>
    <row r="87">
      <c r="A87" s="87"/>
      <c r="B87" s="87"/>
      <c r="C87" s="87"/>
      <c r="D87" s="87"/>
      <c r="E87" s="87"/>
      <c r="F87" s="87"/>
      <c r="G87" s="368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333"/>
      <c r="U87" s="333"/>
    </row>
    <row r="88">
      <c r="A88" s="87"/>
      <c r="B88" s="87"/>
      <c r="C88" s="87"/>
      <c r="D88" s="87"/>
      <c r="E88" s="87"/>
      <c r="F88" s="87"/>
      <c r="G88" s="368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411"/>
      <c r="T88" s="87"/>
      <c r="U88" s="412"/>
    </row>
    <row r="89">
      <c r="A89" s="87"/>
      <c r="B89" s="87"/>
      <c r="C89" s="87"/>
      <c r="D89" s="87"/>
      <c r="E89" s="87"/>
      <c r="F89" s="87"/>
      <c r="G89" s="368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411"/>
      <c r="T89" s="87"/>
      <c r="U89" s="412"/>
    </row>
    <row r="90">
      <c r="A90" s="87"/>
      <c r="B90" s="87"/>
      <c r="C90" s="87"/>
      <c r="D90" s="87"/>
      <c r="E90" s="87"/>
      <c r="F90" s="87"/>
      <c r="G90" s="368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411"/>
      <c r="T90" s="87"/>
      <c r="U90" s="412"/>
    </row>
    <row r="91">
      <c r="A91" s="87"/>
      <c r="B91" s="87"/>
      <c r="C91" s="87"/>
      <c r="D91" s="87"/>
      <c r="E91" s="87"/>
      <c r="F91" s="87"/>
      <c r="G91" s="368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411"/>
      <c r="T91" s="87"/>
      <c r="U91" s="412"/>
    </row>
    <row r="92">
      <c r="A92" s="87"/>
      <c r="B92" s="87"/>
      <c r="C92" s="87"/>
      <c r="D92" s="87"/>
      <c r="E92" s="87"/>
      <c r="F92" s="87"/>
      <c r="G92" s="368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411"/>
      <c r="T92" s="87"/>
      <c r="U92" s="412"/>
    </row>
    <row r="93">
      <c r="A93" s="87"/>
      <c r="B93" s="87"/>
      <c r="C93" s="87"/>
      <c r="D93" s="87"/>
      <c r="E93" s="87"/>
      <c r="F93" s="87"/>
      <c r="G93" s="368"/>
      <c r="H93" s="87"/>
      <c r="I93" s="87"/>
      <c r="J93" s="87"/>
      <c r="K93" s="87"/>
      <c r="L93" s="87"/>
      <c r="M93" s="350"/>
      <c r="N93" s="87"/>
      <c r="O93" s="87"/>
      <c r="P93" s="87"/>
      <c r="Q93" s="87"/>
      <c r="R93" s="87"/>
      <c r="S93" s="87"/>
      <c r="T93" s="87"/>
      <c r="U93" s="413"/>
    </row>
    <row r="94">
      <c r="A94" s="87"/>
      <c r="B94" s="87"/>
      <c r="C94" s="87"/>
      <c r="D94" s="87"/>
      <c r="E94" s="87"/>
      <c r="F94" s="87"/>
      <c r="G94" s="368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</row>
    <row r="95">
      <c r="A95" s="87"/>
      <c r="B95" s="87"/>
      <c r="C95" s="87"/>
      <c r="D95" s="87"/>
      <c r="E95" s="87"/>
      <c r="F95" s="87"/>
      <c r="G95" s="368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</row>
    <row r="96">
      <c r="G96" s="301"/>
    </row>
    <row r="97">
      <c r="G97" s="301"/>
    </row>
    <row r="98">
      <c r="G98" s="301"/>
    </row>
    <row r="99">
      <c r="G99" s="301"/>
    </row>
    <row r="100">
      <c r="G100" s="301"/>
    </row>
    <row r="101">
      <c r="G101" s="301"/>
    </row>
    <row r="102">
      <c r="G102" s="301"/>
    </row>
    <row r="103">
      <c r="G103" s="301"/>
    </row>
    <row r="104">
      <c r="G104" s="301"/>
    </row>
    <row r="105">
      <c r="G105" s="301"/>
    </row>
    <row r="106">
      <c r="G106" s="301"/>
    </row>
    <row r="107">
      <c r="G107" s="301"/>
    </row>
    <row r="108">
      <c r="G108" s="301"/>
    </row>
    <row r="109">
      <c r="G109" s="301"/>
    </row>
    <row r="110">
      <c r="G110" s="301"/>
    </row>
    <row r="111">
      <c r="G111" s="301"/>
    </row>
    <row r="112">
      <c r="G112" s="301"/>
    </row>
    <row r="113">
      <c r="G113" s="301"/>
    </row>
    <row r="114">
      <c r="G114" s="301"/>
    </row>
    <row r="115">
      <c r="G115" s="301"/>
    </row>
    <row r="116">
      <c r="G116" s="301"/>
    </row>
    <row r="117">
      <c r="G117" s="301"/>
    </row>
    <row r="118">
      <c r="G118" s="301"/>
    </row>
    <row r="119">
      <c r="G119" s="301"/>
    </row>
    <row r="120">
      <c r="G120" s="301"/>
    </row>
    <row r="121">
      <c r="G121" s="301"/>
    </row>
    <row r="122">
      <c r="G122" s="301"/>
    </row>
    <row r="123">
      <c r="G123" s="301"/>
    </row>
    <row r="124">
      <c r="G124" s="301"/>
    </row>
    <row r="125">
      <c r="G125" s="301"/>
    </row>
    <row r="126">
      <c r="G126" s="301"/>
    </row>
    <row r="127">
      <c r="G127" s="301"/>
    </row>
    <row r="128">
      <c r="G128" s="301"/>
    </row>
    <row r="129">
      <c r="G129" s="301"/>
    </row>
    <row r="130">
      <c r="G130" s="301"/>
    </row>
    <row r="131">
      <c r="G131" s="301"/>
    </row>
    <row r="132">
      <c r="G132" s="301"/>
    </row>
    <row r="133">
      <c r="G133" s="301"/>
    </row>
    <row r="134">
      <c r="G134" s="301"/>
    </row>
    <row r="135">
      <c r="G135" s="301"/>
    </row>
    <row r="136">
      <c r="G136" s="301"/>
    </row>
    <row r="137">
      <c r="G137" s="301"/>
    </row>
    <row r="138">
      <c r="G138" s="301"/>
    </row>
    <row r="139">
      <c r="G139" s="301"/>
    </row>
    <row r="140">
      <c r="G140" s="301"/>
    </row>
    <row r="141">
      <c r="G141" s="301"/>
    </row>
    <row r="142">
      <c r="G142" s="301"/>
    </row>
    <row r="143">
      <c r="G143" s="301"/>
    </row>
    <row r="144">
      <c r="G144" s="301"/>
    </row>
    <row r="145">
      <c r="G145" s="301"/>
    </row>
    <row r="146">
      <c r="G146" s="301"/>
    </row>
    <row r="147">
      <c r="G147" s="301"/>
    </row>
    <row r="148">
      <c r="G148" s="301"/>
    </row>
    <row r="149">
      <c r="G149" s="301"/>
    </row>
    <row r="150">
      <c r="G150" s="301"/>
    </row>
    <row r="151">
      <c r="G151" s="301"/>
    </row>
    <row r="152">
      <c r="G152" s="301"/>
    </row>
    <row r="153">
      <c r="G153" s="301"/>
    </row>
    <row r="154">
      <c r="G154" s="301"/>
    </row>
    <row r="155">
      <c r="G155" s="301"/>
    </row>
    <row r="156">
      <c r="G156" s="301"/>
    </row>
    <row r="157">
      <c r="G157" s="301"/>
    </row>
    <row r="158">
      <c r="G158" s="301"/>
    </row>
    <row r="159">
      <c r="G159" s="301"/>
    </row>
    <row r="160">
      <c r="G160" s="301"/>
    </row>
    <row r="161">
      <c r="G161" s="301"/>
    </row>
    <row r="162">
      <c r="G162" s="301"/>
    </row>
    <row r="163">
      <c r="G163" s="301"/>
    </row>
    <row r="164">
      <c r="G164" s="301"/>
    </row>
    <row r="165">
      <c r="G165" s="301"/>
    </row>
    <row r="166">
      <c r="G166" s="301"/>
    </row>
    <row r="167">
      <c r="G167" s="301"/>
    </row>
    <row r="168">
      <c r="G168" s="301"/>
    </row>
    <row r="169">
      <c r="G169" s="301"/>
    </row>
    <row r="170">
      <c r="G170" s="301"/>
    </row>
    <row r="171">
      <c r="G171" s="301"/>
    </row>
    <row r="172">
      <c r="G172" s="301"/>
    </row>
    <row r="173">
      <c r="G173" s="301"/>
    </row>
    <row r="174">
      <c r="G174" s="301"/>
    </row>
    <row r="175">
      <c r="G175" s="301"/>
    </row>
    <row r="176">
      <c r="G176" s="301"/>
    </row>
    <row r="177">
      <c r="G177" s="301"/>
    </row>
    <row r="178">
      <c r="G178" s="301"/>
    </row>
    <row r="179">
      <c r="G179" s="301"/>
    </row>
    <row r="180">
      <c r="G180" s="301"/>
    </row>
    <row r="181">
      <c r="G181" s="301"/>
    </row>
    <row r="182">
      <c r="G182" s="301"/>
    </row>
    <row r="183">
      <c r="G183" s="301"/>
    </row>
    <row r="184">
      <c r="G184" s="301"/>
    </row>
    <row r="185">
      <c r="G185" s="301"/>
    </row>
    <row r="186">
      <c r="G186" s="301"/>
    </row>
    <row r="187">
      <c r="G187" s="301"/>
    </row>
    <row r="188">
      <c r="G188" s="301"/>
    </row>
    <row r="189">
      <c r="G189" s="301"/>
    </row>
    <row r="190">
      <c r="G190" s="301"/>
    </row>
    <row r="191">
      <c r="G191" s="301"/>
    </row>
    <row r="192">
      <c r="G192" s="301"/>
    </row>
    <row r="193">
      <c r="G193" s="301"/>
    </row>
    <row r="194">
      <c r="G194" s="301"/>
    </row>
    <row r="195">
      <c r="G195" s="301"/>
    </row>
    <row r="196">
      <c r="G196" s="301"/>
    </row>
    <row r="197">
      <c r="G197" s="301"/>
    </row>
    <row r="198">
      <c r="G198" s="301"/>
    </row>
    <row r="199">
      <c r="G199" s="301"/>
    </row>
    <row r="200">
      <c r="G200" s="301"/>
    </row>
    <row r="201">
      <c r="G201" s="301"/>
    </row>
    <row r="202">
      <c r="G202" s="301"/>
    </row>
    <row r="203">
      <c r="G203" s="301"/>
    </row>
    <row r="204">
      <c r="G204" s="301"/>
    </row>
    <row r="205">
      <c r="G205" s="301"/>
    </row>
    <row r="206">
      <c r="G206" s="301"/>
    </row>
    <row r="207">
      <c r="G207" s="301"/>
    </row>
    <row r="208">
      <c r="G208" s="301"/>
    </row>
    <row r="209">
      <c r="G209" s="301"/>
    </row>
    <row r="210">
      <c r="G210" s="301"/>
    </row>
    <row r="211">
      <c r="G211" s="301"/>
    </row>
    <row r="212">
      <c r="G212" s="301"/>
    </row>
    <row r="213">
      <c r="G213" s="301"/>
    </row>
    <row r="214">
      <c r="G214" s="301"/>
    </row>
    <row r="215">
      <c r="G215" s="301"/>
    </row>
    <row r="216">
      <c r="G216" s="301"/>
    </row>
    <row r="217">
      <c r="G217" s="301"/>
    </row>
    <row r="218">
      <c r="G218" s="301"/>
    </row>
    <row r="219">
      <c r="G219" s="301"/>
    </row>
    <row r="220">
      <c r="G220" s="301"/>
    </row>
    <row r="221">
      <c r="G221" s="301"/>
    </row>
    <row r="222">
      <c r="G222" s="301"/>
    </row>
    <row r="223">
      <c r="G223" s="301"/>
    </row>
    <row r="224">
      <c r="G224" s="301"/>
    </row>
    <row r="225">
      <c r="G225" s="301"/>
    </row>
    <row r="226">
      <c r="G226" s="301"/>
    </row>
    <row r="227">
      <c r="G227" s="301"/>
    </row>
    <row r="228">
      <c r="G228" s="301"/>
    </row>
    <row r="229">
      <c r="G229" s="301"/>
    </row>
    <row r="230">
      <c r="G230" s="301"/>
    </row>
    <row r="231">
      <c r="G231" s="301"/>
    </row>
    <row r="232">
      <c r="G232" s="301"/>
    </row>
    <row r="233">
      <c r="G233" s="301"/>
    </row>
    <row r="234">
      <c r="G234" s="301"/>
    </row>
    <row r="235">
      <c r="G235" s="301"/>
    </row>
    <row r="236">
      <c r="G236" s="301"/>
    </row>
    <row r="237">
      <c r="G237" s="301"/>
    </row>
    <row r="238">
      <c r="G238" s="301"/>
    </row>
    <row r="239">
      <c r="G239" s="301"/>
    </row>
    <row r="240">
      <c r="G240" s="301"/>
    </row>
    <row r="241">
      <c r="G241" s="301"/>
    </row>
    <row r="242">
      <c r="G242" s="301"/>
    </row>
    <row r="243">
      <c r="G243" s="301"/>
    </row>
    <row r="244">
      <c r="G244" s="301"/>
    </row>
    <row r="245">
      <c r="G245" s="301"/>
    </row>
    <row r="246">
      <c r="G246" s="301"/>
    </row>
    <row r="247">
      <c r="G247" s="301"/>
    </row>
    <row r="248">
      <c r="G248" s="301"/>
    </row>
    <row r="249">
      <c r="G249" s="301"/>
    </row>
    <row r="250">
      <c r="G250" s="301"/>
    </row>
    <row r="251">
      <c r="G251" s="301"/>
    </row>
    <row r="252">
      <c r="G252" s="301"/>
    </row>
    <row r="253">
      <c r="G253" s="301"/>
    </row>
    <row r="254">
      <c r="G254" s="301"/>
    </row>
    <row r="255">
      <c r="G255" s="301"/>
    </row>
    <row r="256">
      <c r="G256" s="301"/>
    </row>
    <row r="257">
      <c r="G257" s="301"/>
    </row>
    <row r="258">
      <c r="G258" s="301"/>
    </row>
    <row r="259">
      <c r="G259" s="301"/>
    </row>
    <row r="260">
      <c r="G260" s="301"/>
    </row>
    <row r="261">
      <c r="G261" s="301"/>
    </row>
    <row r="262">
      <c r="G262" s="301"/>
    </row>
    <row r="263">
      <c r="G263" s="301"/>
    </row>
    <row r="264">
      <c r="G264" s="301"/>
    </row>
    <row r="265">
      <c r="G265" s="301"/>
    </row>
    <row r="266">
      <c r="G266" s="301"/>
    </row>
    <row r="267">
      <c r="G267" s="301"/>
    </row>
    <row r="268">
      <c r="G268" s="301"/>
    </row>
    <row r="269">
      <c r="G269" s="301"/>
    </row>
    <row r="270">
      <c r="G270" s="301"/>
    </row>
    <row r="271">
      <c r="G271" s="301"/>
    </row>
    <row r="272">
      <c r="G272" s="301"/>
    </row>
    <row r="273">
      <c r="G273" s="301"/>
    </row>
    <row r="274">
      <c r="G274" s="301"/>
    </row>
    <row r="275">
      <c r="G275" s="301"/>
    </row>
    <row r="276">
      <c r="G276" s="301"/>
    </row>
    <row r="277">
      <c r="G277" s="301"/>
    </row>
    <row r="278">
      <c r="G278" s="301"/>
    </row>
    <row r="279">
      <c r="G279" s="301"/>
    </row>
    <row r="280">
      <c r="G280" s="301"/>
    </row>
    <row r="281">
      <c r="G281" s="301"/>
    </row>
    <row r="282">
      <c r="G282" s="301"/>
    </row>
    <row r="283">
      <c r="G283" s="301"/>
    </row>
    <row r="284">
      <c r="G284" s="301"/>
    </row>
    <row r="285">
      <c r="G285" s="301"/>
    </row>
    <row r="286">
      <c r="G286" s="301"/>
    </row>
    <row r="287">
      <c r="G287" s="301"/>
    </row>
    <row r="288">
      <c r="G288" s="301"/>
    </row>
    <row r="289">
      <c r="G289" s="301"/>
    </row>
    <row r="290">
      <c r="G290" s="301"/>
    </row>
    <row r="291">
      <c r="G291" s="301"/>
    </row>
    <row r="292">
      <c r="G292" s="301"/>
    </row>
    <row r="293">
      <c r="G293" s="301"/>
    </row>
    <row r="294">
      <c r="G294" s="301"/>
    </row>
    <row r="295">
      <c r="G295" s="301"/>
    </row>
    <row r="296">
      <c r="G296" s="301"/>
    </row>
    <row r="297">
      <c r="G297" s="301"/>
    </row>
    <row r="298">
      <c r="G298" s="301"/>
    </row>
    <row r="299">
      <c r="G299" s="301"/>
    </row>
    <row r="300">
      <c r="G300" s="301"/>
    </row>
    <row r="301">
      <c r="G301" s="301"/>
    </row>
    <row r="302">
      <c r="G302" s="301"/>
    </row>
    <row r="303">
      <c r="G303" s="301"/>
    </row>
    <row r="304">
      <c r="G304" s="301"/>
    </row>
    <row r="305">
      <c r="G305" s="301"/>
    </row>
    <row r="306">
      <c r="G306" s="301"/>
    </row>
    <row r="307">
      <c r="G307" s="301"/>
    </row>
    <row r="308">
      <c r="G308" s="301"/>
    </row>
    <row r="309">
      <c r="G309" s="301"/>
    </row>
    <row r="310">
      <c r="G310" s="301"/>
    </row>
    <row r="311">
      <c r="G311" s="301"/>
    </row>
    <row r="312">
      <c r="G312" s="301"/>
    </row>
    <row r="313">
      <c r="G313" s="301"/>
    </row>
    <row r="314">
      <c r="G314" s="301"/>
    </row>
    <row r="315">
      <c r="G315" s="301"/>
    </row>
    <row r="316">
      <c r="G316" s="301"/>
    </row>
    <row r="317">
      <c r="G317" s="301"/>
    </row>
    <row r="318">
      <c r="G318" s="301"/>
    </row>
    <row r="319">
      <c r="G319" s="301"/>
    </row>
    <row r="320">
      <c r="G320" s="301"/>
    </row>
    <row r="321">
      <c r="G321" s="301"/>
    </row>
    <row r="322">
      <c r="G322" s="301"/>
    </row>
    <row r="323">
      <c r="G323" s="301"/>
    </row>
    <row r="324">
      <c r="G324" s="301"/>
    </row>
    <row r="325">
      <c r="G325" s="301"/>
    </row>
    <row r="326">
      <c r="G326" s="301"/>
    </row>
    <row r="327">
      <c r="G327" s="301"/>
    </row>
    <row r="328">
      <c r="G328" s="301"/>
    </row>
    <row r="329">
      <c r="G329" s="301"/>
    </row>
    <row r="330">
      <c r="G330" s="301"/>
    </row>
    <row r="331">
      <c r="G331" s="301"/>
    </row>
    <row r="332">
      <c r="G332" s="301"/>
    </row>
    <row r="333">
      <c r="G333" s="301"/>
    </row>
    <row r="334">
      <c r="G334" s="301"/>
    </row>
    <row r="335">
      <c r="G335" s="301"/>
    </row>
    <row r="336">
      <c r="G336" s="301"/>
    </row>
    <row r="337">
      <c r="G337" s="301"/>
    </row>
    <row r="338">
      <c r="G338" s="301"/>
    </row>
    <row r="339">
      <c r="G339" s="301"/>
    </row>
    <row r="340">
      <c r="G340" s="301"/>
    </row>
    <row r="341">
      <c r="G341" s="301"/>
    </row>
    <row r="342">
      <c r="G342" s="301"/>
    </row>
    <row r="343">
      <c r="G343" s="301"/>
    </row>
    <row r="344">
      <c r="G344" s="301"/>
    </row>
    <row r="345">
      <c r="G345" s="301"/>
    </row>
    <row r="346">
      <c r="G346" s="301"/>
    </row>
    <row r="347">
      <c r="G347" s="301"/>
    </row>
    <row r="348">
      <c r="G348" s="301"/>
    </row>
    <row r="349">
      <c r="G349" s="301"/>
    </row>
    <row r="350">
      <c r="G350" s="301"/>
    </row>
    <row r="351">
      <c r="G351" s="301"/>
    </row>
    <row r="352">
      <c r="G352" s="301"/>
    </row>
    <row r="353">
      <c r="G353" s="301"/>
    </row>
    <row r="354">
      <c r="G354" s="301"/>
    </row>
    <row r="355">
      <c r="G355" s="301"/>
    </row>
    <row r="356">
      <c r="G356" s="301"/>
    </row>
    <row r="357">
      <c r="G357" s="301"/>
    </row>
    <row r="358">
      <c r="G358" s="301"/>
    </row>
    <row r="359">
      <c r="G359" s="301"/>
    </row>
    <row r="360">
      <c r="G360" s="301"/>
    </row>
    <row r="361">
      <c r="G361" s="301"/>
    </row>
    <row r="362">
      <c r="G362" s="301"/>
    </row>
    <row r="363">
      <c r="G363" s="301"/>
    </row>
    <row r="364">
      <c r="G364" s="301"/>
    </row>
    <row r="365">
      <c r="G365" s="301"/>
    </row>
    <row r="366">
      <c r="G366" s="301"/>
    </row>
    <row r="367">
      <c r="G367" s="301"/>
    </row>
    <row r="368">
      <c r="G368" s="301"/>
    </row>
    <row r="369">
      <c r="G369" s="301"/>
    </row>
    <row r="370">
      <c r="G370" s="301"/>
    </row>
    <row r="371">
      <c r="G371" s="301"/>
    </row>
    <row r="372">
      <c r="G372" s="301"/>
    </row>
    <row r="373">
      <c r="G373" s="301"/>
    </row>
    <row r="374">
      <c r="G374" s="301"/>
    </row>
    <row r="375">
      <c r="G375" s="301"/>
    </row>
    <row r="376">
      <c r="G376" s="301"/>
    </row>
    <row r="377">
      <c r="G377" s="301"/>
    </row>
    <row r="378">
      <c r="G378" s="301"/>
    </row>
    <row r="379">
      <c r="G379" s="301"/>
    </row>
    <row r="380">
      <c r="G380" s="301"/>
    </row>
    <row r="381">
      <c r="G381" s="301"/>
    </row>
    <row r="382">
      <c r="G382" s="301"/>
    </row>
    <row r="383">
      <c r="G383" s="301"/>
    </row>
    <row r="384">
      <c r="G384" s="301"/>
    </row>
    <row r="385">
      <c r="G385" s="301"/>
    </row>
    <row r="386">
      <c r="G386" s="301"/>
    </row>
    <row r="387">
      <c r="G387" s="301"/>
    </row>
    <row r="388">
      <c r="G388" s="301"/>
    </row>
    <row r="389">
      <c r="G389" s="301"/>
    </row>
    <row r="390">
      <c r="G390" s="301"/>
    </row>
    <row r="391">
      <c r="G391" s="301"/>
    </row>
    <row r="392">
      <c r="G392" s="301"/>
    </row>
    <row r="393">
      <c r="G393" s="301"/>
    </row>
    <row r="394">
      <c r="G394" s="301"/>
    </row>
    <row r="395">
      <c r="G395" s="301"/>
    </row>
    <row r="396">
      <c r="G396" s="301"/>
    </row>
    <row r="397">
      <c r="G397" s="301"/>
    </row>
    <row r="398">
      <c r="G398" s="301"/>
    </row>
    <row r="399">
      <c r="G399" s="301"/>
    </row>
    <row r="400">
      <c r="G400" s="301"/>
    </row>
    <row r="401">
      <c r="G401" s="301"/>
    </row>
    <row r="402">
      <c r="G402" s="301"/>
    </row>
    <row r="403">
      <c r="G403" s="301"/>
    </row>
    <row r="404">
      <c r="G404" s="301"/>
    </row>
    <row r="405">
      <c r="G405" s="301"/>
    </row>
    <row r="406">
      <c r="G406" s="301"/>
    </row>
    <row r="407">
      <c r="G407" s="301"/>
    </row>
    <row r="408">
      <c r="G408" s="301"/>
    </row>
    <row r="409">
      <c r="G409" s="301"/>
    </row>
    <row r="410">
      <c r="G410" s="301"/>
    </row>
    <row r="411">
      <c r="G411" s="301"/>
    </row>
    <row r="412">
      <c r="G412" s="301"/>
    </row>
    <row r="413">
      <c r="G413" s="301"/>
    </row>
    <row r="414">
      <c r="G414" s="301"/>
    </row>
    <row r="415">
      <c r="G415" s="301"/>
    </row>
    <row r="416">
      <c r="G416" s="301"/>
    </row>
    <row r="417">
      <c r="G417" s="301"/>
    </row>
    <row r="418">
      <c r="G418" s="301"/>
    </row>
    <row r="419">
      <c r="G419" s="301"/>
    </row>
    <row r="420">
      <c r="G420" s="301"/>
    </row>
    <row r="421">
      <c r="G421" s="301"/>
    </row>
    <row r="422">
      <c r="G422" s="301"/>
    </row>
    <row r="423">
      <c r="G423" s="301"/>
    </row>
    <row r="424">
      <c r="G424" s="301"/>
    </row>
    <row r="425">
      <c r="G425" s="301"/>
    </row>
    <row r="426">
      <c r="G426" s="301"/>
    </row>
    <row r="427">
      <c r="G427" s="301"/>
    </row>
    <row r="428">
      <c r="G428" s="301"/>
    </row>
    <row r="429">
      <c r="G429" s="301"/>
    </row>
    <row r="430">
      <c r="G430" s="301"/>
    </row>
    <row r="431">
      <c r="G431" s="301"/>
    </row>
    <row r="432">
      <c r="G432" s="301"/>
    </row>
    <row r="433">
      <c r="G433" s="301"/>
    </row>
    <row r="434">
      <c r="G434" s="301"/>
    </row>
    <row r="435">
      <c r="G435" s="301"/>
    </row>
    <row r="436">
      <c r="G436" s="301"/>
    </row>
    <row r="437">
      <c r="G437" s="301"/>
    </row>
    <row r="438">
      <c r="G438" s="301"/>
    </row>
    <row r="439">
      <c r="G439" s="301"/>
    </row>
    <row r="440">
      <c r="G440" s="301"/>
    </row>
    <row r="441">
      <c r="G441" s="301"/>
    </row>
    <row r="442">
      <c r="G442" s="301"/>
    </row>
    <row r="443">
      <c r="G443" s="301"/>
    </row>
    <row r="444">
      <c r="G444" s="301"/>
    </row>
    <row r="445">
      <c r="G445" s="301"/>
    </row>
    <row r="446">
      <c r="G446" s="301"/>
    </row>
    <row r="447">
      <c r="G447" s="301"/>
    </row>
    <row r="448">
      <c r="G448" s="301"/>
    </row>
    <row r="449">
      <c r="G449" s="301"/>
    </row>
    <row r="450">
      <c r="G450" s="301"/>
    </row>
    <row r="451">
      <c r="G451" s="301"/>
    </row>
    <row r="452">
      <c r="G452" s="301"/>
    </row>
    <row r="453">
      <c r="G453" s="301"/>
    </row>
    <row r="454">
      <c r="G454" s="301"/>
    </row>
    <row r="455">
      <c r="G455" s="301"/>
    </row>
    <row r="456">
      <c r="G456" s="301"/>
    </row>
    <row r="457">
      <c r="G457" s="301"/>
    </row>
    <row r="458">
      <c r="G458" s="301"/>
    </row>
    <row r="459">
      <c r="G459" s="301"/>
    </row>
    <row r="460">
      <c r="G460" s="301"/>
    </row>
    <row r="461">
      <c r="G461" s="301"/>
    </row>
    <row r="462">
      <c r="G462" s="301"/>
    </row>
    <row r="463">
      <c r="G463" s="301"/>
    </row>
    <row r="464">
      <c r="G464" s="301"/>
    </row>
    <row r="465">
      <c r="G465" s="301"/>
    </row>
    <row r="466">
      <c r="G466" s="301"/>
    </row>
    <row r="467">
      <c r="G467" s="301"/>
    </row>
    <row r="468">
      <c r="G468" s="301"/>
    </row>
    <row r="469">
      <c r="G469" s="301"/>
    </row>
    <row r="470">
      <c r="G470" s="301"/>
    </row>
    <row r="471">
      <c r="G471" s="301"/>
    </row>
    <row r="472">
      <c r="G472" s="301"/>
    </row>
    <row r="473">
      <c r="G473" s="301"/>
    </row>
    <row r="474">
      <c r="G474" s="301"/>
    </row>
    <row r="475">
      <c r="G475" s="301"/>
    </row>
    <row r="476">
      <c r="G476" s="301"/>
    </row>
    <row r="477">
      <c r="G477" s="301"/>
    </row>
    <row r="478">
      <c r="G478" s="301"/>
    </row>
    <row r="479">
      <c r="G479" s="301"/>
    </row>
    <row r="480">
      <c r="G480" s="301"/>
    </row>
    <row r="481">
      <c r="G481" s="301"/>
    </row>
    <row r="482">
      <c r="G482" s="301"/>
    </row>
    <row r="483">
      <c r="G483" s="301"/>
    </row>
    <row r="484">
      <c r="G484" s="301"/>
    </row>
    <row r="485">
      <c r="G485" s="301"/>
    </row>
    <row r="486">
      <c r="G486" s="301"/>
    </row>
    <row r="487">
      <c r="G487" s="301"/>
    </row>
    <row r="488">
      <c r="G488" s="301"/>
    </row>
    <row r="489">
      <c r="G489" s="301"/>
    </row>
    <row r="490">
      <c r="G490" s="301"/>
    </row>
    <row r="491">
      <c r="G491" s="301"/>
    </row>
    <row r="492">
      <c r="G492" s="301"/>
    </row>
    <row r="493">
      <c r="G493" s="301"/>
    </row>
    <row r="494">
      <c r="G494" s="301"/>
    </row>
    <row r="495">
      <c r="G495" s="301"/>
    </row>
    <row r="496">
      <c r="G496" s="301"/>
    </row>
    <row r="497">
      <c r="G497" s="301"/>
    </row>
    <row r="498">
      <c r="G498" s="301"/>
    </row>
    <row r="499">
      <c r="G499" s="301"/>
    </row>
    <row r="500">
      <c r="G500" s="301"/>
    </row>
    <row r="501">
      <c r="G501" s="301"/>
    </row>
    <row r="502">
      <c r="G502" s="301"/>
    </row>
    <row r="503">
      <c r="G503" s="301"/>
    </row>
    <row r="504">
      <c r="G504" s="301"/>
    </row>
    <row r="505">
      <c r="G505" s="301"/>
    </row>
    <row r="506">
      <c r="G506" s="301"/>
    </row>
    <row r="507">
      <c r="G507" s="301"/>
    </row>
    <row r="508">
      <c r="G508" s="301"/>
    </row>
    <row r="509">
      <c r="G509" s="301"/>
    </row>
    <row r="510">
      <c r="G510" s="301"/>
    </row>
    <row r="511">
      <c r="G511" s="301"/>
    </row>
    <row r="512">
      <c r="G512" s="301"/>
    </row>
    <row r="513">
      <c r="G513" s="301"/>
    </row>
    <row r="514">
      <c r="G514" s="301"/>
    </row>
    <row r="515">
      <c r="G515" s="301"/>
    </row>
    <row r="516">
      <c r="G516" s="301"/>
    </row>
    <row r="517">
      <c r="G517" s="301"/>
    </row>
    <row r="518">
      <c r="G518" s="301"/>
    </row>
    <row r="519">
      <c r="G519" s="301"/>
    </row>
    <row r="520">
      <c r="G520" s="301"/>
    </row>
    <row r="521">
      <c r="G521" s="301"/>
    </row>
    <row r="522">
      <c r="G522" s="301"/>
    </row>
    <row r="523">
      <c r="G523" s="301"/>
    </row>
    <row r="524">
      <c r="G524" s="301"/>
    </row>
    <row r="525">
      <c r="G525" s="301"/>
    </row>
    <row r="526">
      <c r="G526" s="301"/>
    </row>
    <row r="527">
      <c r="G527" s="301"/>
    </row>
    <row r="528">
      <c r="G528" s="301"/>
    </row>
    <row r="529">
      <c r="G529" s="301"/>
    </row>
    <row r="530">
      <c r="G530" s="301"/>
    </row>
    <row r="531">
      <c r="G531" s="301"/>
    </row>
    <row r="532">
      <c r="G532" s="301"/>
    </row>
    <row r="533">
      <c r="G533" s="301"/>
    </row>
    <row r="534">
      <c r="G534" s="301"/>
    </row>
    <row r="535">
      <c r="G535" s="301"/>
    </row>
    <row r="536">
      <c r="G536" s="301"/>
    </row>
    <row r="537">
      <c r="G537" s="301"/>
    </row>
    <row r="538">
      <c r="G538" s="301"/>
    </row>
    <row r="539">
      <c r="G539" s="301"/>
    </row>
    <row r="540">
      <c r="G540" s="301"/>
    </row>
    <row r="541">
      <c r="G541" s="301"/>
    </row>
    <row r="542">
      <c r="G542" s="301"/>
    </row>
    <row r="543">
      <c r="G543" s="301"/>
    </row>
    <row r="544">
      <c r="G544" s="301"/>
    </row>
    <row r="545">
      <c r="G545" s="301"/>
    </row>
    <row r="546">
      <c r="G546" s="301"/>
    </row>
    <row r="547">
      <c r="G547" s="301"/>
    </row>
    <row r="548">
      <c r="G548" s="301"/>
    </row>
    <row r="549">
      <c r="G549" s="301"/>
    </row>
    <row r="550">
      <c r="G550" s="301"/>
    </row>
    <row r="551">
      <c r="G551" s="301"/>
    </row>
    <row r="552">
      <c r="G552" s="301"/>
    </row>
    <row r="553">
      <c r="G553" s="301"/>
    </row>
    <row r="554">
      <c r="G554" s="301"/>
    </row>
    <row r="555">
      <c r="G555" s="301"/>
    </row>
    <row r="556">
      <c r="G556" s="301"/>
    </row>
    <row r="557">
      <c r="G557" s="301"/>
    </row>
    <row r="558">
      <c r="G558" s="301"/>
    </row>
    <row r="559">
      <c r="G559" s="301"/>
    </row>
    <row r="560">
      <c r="G560" s="301"/>
    </row>
    <row r="561">
      <c r="G561" s="301"/>
    </row>
    <row r="562">
      <c r="G562" s="301"/>
    </row>
    <row r="563">
      <c r="G563" s="301"/>
    </row>
    <row r="564">
      <c r="G564" s="301"/>
    </row>
    <row r="565">
      <c r="G565" s="301"/>
    </row>
    <row r="566">
      <c r="G566" s="301"/>
    </row>
    <row r="567">
      <c r="G567" s="301"/>
    </row>
    <row r="568">
      <c r="G568" s="301"/>
    </row>
    <row r="569">
      <c r="G569" s="301"/>
    </row>
    <row r="570">
      <c r="G570" s="301"/>
    </row>
    <row r="571">
      <c r="G571" s="301"/>
    </row>
    <row r="572">
      <c r="G572" s="301"/>
    </row>
    <row r="573">
      <c r="G573" s="301"/>
    </row>
    <row r="574">
      <c r="G574" s="301"/>
    </row>
    <row r="575">
      <c r="G575" s="301"/>
    </row>
    <row r="576">
      <c r="G576" s="301"/>
    </row>
    <row r="577">
      <c r="G577" s="301"/>
    </row>
    <row r="578">
      <c r="G578" s="301"/>
    </row>
    <row r="579">
      <c r="G579" s="301"/>
    </row>
    <row r="580">
      <c r="G580" s="301"/>
    </row>
    <row r="581">
      <c r="G581" s="301"/>
    </row>
    <row r="582">
      <c r="G582" s="301"/>
    </row>
    <row r="583">
      <c r="G583" s="301"/>
    </row>
    <row r="584">
      <c r="G584" s="301"/>
    </row>
    <row r="585">
      <c r="G585" s="301"/>
    </row>
    <row r="586">
      <c r="G586" s="301"/>
    </row>
    <row r="587">
      <c r="G587" s="301"/>
    </row>
    <row r="588">
      <c r="G588" s="301"/>
    </row>
    <row r="589">
      <c r="G589" s="301"/>
    </row>
    <row r="590">
      <c r="G590" s="301"/>
    </row>
    <row r="591">
      <c r="G591" s="301"/>
    </row>
    <row r="592">
      <c r="G592" s="301"/>
    </row>
    <row r="593">
      <c r="G593" s="301"/>
    </row>
    <row r="594">
      <c r="G594" s="301"/>
    </row>
    <row r="595">
      <c r="G595" s="301"/>
    </row>
    <row r="596">
      <c r="G596" s="301"/>
    </row>
    <row r="597">
      <c r="G597" s="301"/>
    </row>
    <row r="598">
      <c r="G598" s="301"/>
    </row>
    <row r="599">
      <c r="G599" s="301"/>
    </row>
    <row r="600">
      <c r="G600" s="301"/>
    </row>
    <row r="601">
      <c r="G601" s="301"/>
    </row>
    <row r="602">
      <c r="G602" s="301"/>
    </row>
    <row r="603">
      <c r="G603" s="301"/>
    </row>
    <row r="604">
      <c r="G604" s="301"/>
    </row>
    <row r="605">
      <c r="G605" s="301"/>
    </row>
    <row r="606">
      <c r="G606" s="301"/>
    </row>
    <row r="607">
      <c r="G607" s="301"/>
    </row>
    <row r="608">
      <c r="G608" s="301"/>
    </row>
    <row r="609">
      <c r="G609" s="301"/>
    </row>
    <row r="610">
      <c r="G610" s="301"/>
    </row>
    <row r="611">
      <c r="G611" s="301"/>
    </row>
    <row r="612">
      <c r="G612" s="301"/>
    </row>
    <row r="613">
      <c r="G613" s="301"/>
    </row>
    <row r="614">
      <c r="G614" s="301"/>
    </row>
    <row r="615">
      <c r="G615" s="301"/>
    </row>
    <row r="616">
      <c r="G616" s="301"/>
    </row>
    <row r="617">
      <c r="G617" s="301"/>
    </row>
    <row r="618">
      <c r="G618" s="301"/>
    </row>
    <row r="619">
      <c r="G619" s="301"/>
    </row>
    <row r="620">
      <c r="G620" s="301"/>
    </row>
    <row r="621">
      <c r="G621" s="301"/>
    </row>
    <row r="622">
      <c r="G622" s="301"/>
    </row>
    <row r="623">
      <c r="G623" s="301"/>
    </row>
    <row r="624">
      <c r="G624" s="301"/>
    </row>
    <row r="625">
      <c r="G625" s="301"/>
    </row>
    <row r="626">
      <c r="G626" s="301"/>
    </row>
    <row r="627">
      <c r="G627" s="301"/>
    </row>
    <row r="628">
      <c r="G628" s="301"/>
    </row>
    <row r="629">
      <c r="G629" s="301"/>
    </row>
    <row r="630">
      <c r="G630" s="301"/>
    </row>
    <row r="631">
      <c r="G631" s="301"/>
    </row>
    <row r="632">
      <c r="G632" s="301"/>
    </row>
    <row r="633">
      <c r="G633" s="301"/>
    </row>
    <row r="634">
      <c r="G634" s="301"/>
    </row>
    <row r="635">
      <c r="G635" s="301"/>
    </row>
    <row r="636">
      <c r="G636" s="301"/>
    </row>
    <row r="637">
      <c r="G637" s="301"/>
    </row>
    <row r="638">
      <c r="G638" s="301"/>
    </row>
    <row r="639">
      <c r="G639" s="301"/>
    </row>
    <row r="640">
      <c r="G640" s="301"/>
    </row>
    <row r="641">
      <c r="G641" s="301"/>
    </row>
    <row r="642">
      <c r="G642" s="301"/>
    </row>
    <row r="643">
      <c r="G643" s="301"/>
    </row>
    <row r="644">
      <c r="G644" s="301"/>
    </row>
    <row r="645">
      <c r="G645" s="301"/>
    </row>
    <row r="646">
      <c r="G646" s="301"/>
    </row>
    <row r="647">
      <c r="G647" s="301"/>
    </row>
    <row r="648">
      <c r="G648" s="301"/>
    </row>
    <row r="649">
      <c r="G649" s="301"/>
    </row>
    <row r="650">
      <c r="G650" s="301"/>
    </row>
    <row r="651">
      <c r="G651" s="301"/>
    </row>
    <row r="652">
      <c r="G652" s="301"/>
    </row>
    <row r="653">
      <c r="G653" s="301"/>
    </row>
    <row r="654">
      <c r="G654" s="301"/>
    </row>
    <row r="655">
      <c r="G655" s="301"/>
    </row>
    <row r="656">
      <c r="G656" s="301"/>
    </row>
    <row r="657">
      <c r="G657" s="301"/>
    </row>
    <row r="658">
      <c r="G658" s="301"/>
    </row>
    <row r="659">
      <c r="G659" s="301"/>
    </row>
    <row r="660">
      <c r="G660" s="301"/>
    </row>
    <row r="661">
      <c r="G661" s="301"/>
    </row>
    <row r="662">
      <c r="G662" s="301"/>
    </row>
    <row r="663">
      <c r="G663" s="301"/>
    </row>
    <row r="664">
      <c r="G664" s="301"/>
    </row>
    <row r="665">
      <c r="G665" s="301"/>
    </row>
    <row r="666">
      <c r="G666" s="301"/>
    </row>
    <row r="667">
      <c r="G667" s="301"/>
    </row>
    <row r="668">
      <c r="G668" s="301"/>
    </row>
    <row r="669">
      <c r="G669" s="301"/>
    </row>
    <row r="670">
      <c r="G670" s="301"/>
    </row>
    <row r="671">
      <c r="G671" s="301"/>
    </row>
    <row r="672">
      <c r="G672" s="301"/>
    </row>
    <row r="673">
      <c r="G673" s="301"/>
    </row>
    <row r="674">
      <c r="G674" s="301"/>
    </row>
    <row r="675">
      <c r="G675" s="301"/>
    </row>
    <row r="676">
      <c r="G676" s="301"/>
    </row>
    <row r="677">
      <c r="G677" s="301"/>
    </row>
    <row r="678">
      <c r="G678" s="301"/>
    </row>
    <row r="679">
      <c r="G679" s="301"/>
    </row>
    <row r="680">
      <c r="G680" s="301"/>
    </row>
    <row r="681">
      <c r="G681" s="301"/>
    </row>
    <row r="682">
      <c r="G682" s="301"/>
    </row>
    <row r="683">
      <c r="G683" s="301"/>
    </row>
    <row r="684">
      <c r="G684" s="301"/>
    </row>
    <row r="685">
      <c r="G685" s="301"/>
    </row>
    <row r="686">
      <c r="G686" s="301"/>
    </row>
    <row r="687">
      <c r="G687" s="301"/>
    </row>
    <row r="688">
      <c r="G688" s="301"/>
    </row>
    <row r="689">
      <c r="G689" s="301"/>
    </row>
    <row r="690">
      <c r="G690" s="301"/>
    </row>
    <row r="691">
      <c r="G691" s="301"/>
    </row>
    <row r="692">
      <c r="G692" s="301"/>
    </row>
    <row r="693">
      <c r="G693" s="301"/>
    </row>
    <row r="694">
      <c r="G694" s="301"/>
    </row>
    <row r="695">
      <c r="G695" s="301"/>
    </row>
    <row r="696">
      <c r="G696" s="301"/>
    </row>
    <row r="697">
      <c r="G697" s="301"/>
    </row>
    <row r="698">
      <c r="G698" s="301"/>
    </row>
    <row r="699">
      <c r="G699" s="301"/>
    </row>
    <row r="700">
      <c r="G700" s="301"/>
    </row>
    <row r="701">
      <c r="G701" s="301"/>
    </row>
    <row r="702">
      <c r="G702" s="301"/>
    </row>
    <row r="703">
      <c r="G703" s="301"/>
    </row>
    <row r="704">
      <c r="G704" s="301"/>
    </row>
    <row r="705">
      <c r="G705" s="301"/>
    </row>
    <row r="706">
      <c r="G706" s="301"/>
    </row>
    <row r="707">
      <c r="G707" s="301"/>
    </row>
    <row r="708">
      <c r="G708" s="301"/>
    </row>
    <row r="709">
      <c r="G709" s="301"/>
    </row>
    <row r="710">
      <c r="G710" s="301"/>
    </row>
    <row r="711">
      <c r="G711" s="301"/>
    </row>
    <row r="712">
      <c r="G712" s="301"/>
    </row>
    <row r="713">
      <c r="G713" s="301"/>
    </row>
    <row r="714">
      <c r="G714" s="301"/>
    </row>
    <row r="715">
      <c r="G715" s="301"/>
    </row>
    <row r="716">
      <c r="G716" s="301"/>
    </row>
    <row r="717">
      <c r="G717" s="301"/>
    </row>
    <row r="718">
      <c r="G718" s="301"/>
    </row>
    <row r="719">
      <c r="G719" s="301"/>
    </row>
    <row r="720">
      <c r="G720" s="301"/>
    </row>
    <row r="721">
      <c r="G721" s="301"/>
    </row>
    <row r="722">
      <c r="G722" s="301"/>
    </row>
    <row r="723">
      <c r="G723" s="301"/>
    </row>
    <row r="724">
      <c r="G724" s="301"/>
    </row>
    <row r="725">
      <c r="G725" s="301"/>
    </row>
    <row r="726">
      <c r="G726" s="301"/>
    </row>
    <row r="727">
      <c r="G727" s="301"/>
    </row>
    <row r="728">
      <c r="G728" s="301"/>
    </row>
    <row r="729">
      <c r="G729" s="301"/>
    </row>
    <row r="730">
      <c r="G730" s="301"/>
    </row>
    <row r="731">
      <c r="G731" s="301"/>
    </row>
    <row r="732">
      <c r="G732" s="301"/>
    </row>
    <row r="733">
      <c r="G733" s="301"/>
    </row>
    <row r="734">
      <c r="G734" s="301"/>
    </row>
    <row r="735">
      <c r="G735" s="301"/>
    </row>
    <row r="736">
      <c r="G736" s="301"/>
    </row>
    <row r="737">
      <c r="G737" s="301"/>
    </row>
    <row r="738">
      <c r="G738" s="301"/>
    </row>
    <row r="739">
      <c r="G739" s="301"/>
    </row>
    <row r="740">
      <c r="G740" s="301"/>
    </row>
    <row r="741">
      <c r="G741" s="301"/>
    </row>
    <row r="742">
      <c r="G742" s="301"/>
    </row>
    <row r="743">
      <c r="G743" s="301"/>
    </row>
    <row r="744">
      <c r="G744" s="301"/>
    </row>
    <row r="745">
      <c r="G745" s="301"/>
    </row>
    <row r="746">
      <c r="G746" s="301"/>
    </row>
    <row r="747">
      <c r="G747" s="301"/>
    </row>
    <row r="748">
      <c r="G748" s="301"/>
    </row>
    <row r="749">
      <c r="G749" s="301"/>
    </row>
    <row r="750">
      <c r="G750" s="301"/>
    </row>
    <row r="751">
      <c r="G751" s="301"/>
    </row>
    <row r="752">
      <c r="G752" s="301"/>
    </row>
    <row r="753">
      <c r="G753" s="301"/>
    </row>
    <row r="754">
      <c r="G754" s="301"/>
    </row>
    <row r="755">
      <c r="G755" s="301"/>
    </row>
    <row r="756">
      <c r="G756" s="301"/>
    </row>
    <row r="757">
      <c r="G757" s="301"/>
    </row>
    <row r="758">
      <c r="G758" s="301"/>
    </row>
    <row r="759">
      <c r="G759" s="301"/>
    </row>
    <row r="760">
      <c r="G760" s="301"/>
    </row>
    <row r="761">
      <c r="G761" s="301"/>
    </row>
    <row r="762">
      <c r="G762" s="301"/>
    </row>
    <row r="763">
      <c r="G763" s="301"/>
    </row>
    <row r="764">
      <c r="G764" s="301"/>
    </row>
    <row r="765">
      <c r="G765" s="301"/>
    </row>
    <row r="766">
      <c r="G766" s="301"/>
    </row>
    <row r="767">
      <c r="G767" s="301"/>
    </row>
    <row r="768">
      <c r="G768" s="301"/>
    </row>
    <row r="769">
      <c r="G769" s="301"/>
    </row>
    <row r="770">
      <c r="G770" s="301"/>
    </row>
    <row r="771">
      <c r="G771" s="301"/>
    </row>
    <row r="772">
      <c r="G772" s="301"/>
    </row>
    <row r="773">
      <c r="G773" s="301"/>
    </row>
    <row r="774">
      <c r="G774" s="301"/>
    </row>
    <row r="775">
      <c r="G775" s="301"/>
    </row>
    <row r="776">
      <c r="G776" s="301"/>
    </row>
    <row r="777">
      <c r="G777" s="301"/>
    </row>
    <row r="778">
      <c r="G778" s="301"/>
    </row>
    <row r="779">
      <c r="G779" s="301"/>
    </row>
    <row r="780">
      <c r="G780" s="301"/>
    </row>
    <row r="781">
      <c r="G781" s="301"/>
    </row>
    <row r="782">
      <c r="G782" s="301"/>
    </row>
    <row r="783">
      <c r="G783" s="301"/>
    </row>
    <row r="784">
      <c r="G784" s="301"/>
    </row>
    <row r="785">
      <c r="G785" s="301"/>
    </row>
    <row r="786">
      <c r="G786" s="301"/>
    </row>
    <row r="787">
      <c r="G787" s="301"/>
    </row>
    <row r="788">
      <c r="G788" s="301"/>
    </row>
    <row r="789">
      <c r="G789" s="301"/>
    </row>
    <row r="790">
      <c r="G790" s="301"/>
    </row>
    <row r="791">
      <c r="G791" s="301"/>
    </row>
    <row r="792">
      <c r="G792" s="301"/>
    </row>
    <row r="793">
      <c r="G793" s="301"/>
    </row>
    <row r="794">
      <c r="G794" s="301"/>
    </row>
    <row r="795">
      <c r="G795" s="301"/>
    </row>
    <row r="796">
      <c r="G796" s="301"/>
    </row>
    <row r="797">
      <c r="G797" s="301"/>
    </row>
    <row r="798">
      <c r="G798" s="301"/>
    </row>
    <row r="799">
      <c r="G799" s="301"/>
    </row>
    <row r="800">
      <c r="G800" s="301"/>
    </row>
    <row r="801">
      <c r="G801" s="301"/>
    </row>
    <row r="802">
      <c r="G802" s="301"/>
    </row>
    <row r="803">
      <c r="G803" s="301"/>
    </row>
    <row r="804">
      <c r="G804" s="301"/>
    </row>
    <row r="805">
      <c r="G805" s="301"/>
    </row>
    <row r="806">
      <c r="G806" s="301"/>
    </row>
    <row r="807">
      <c r="G807" s="301"/>
    </row>
    <row r="808">
      <c r="G808" s="301"/>
    </row>
    <row r="809">
      <c r="G809" s="301"/>
    </row>
    <row r="810">
      <c r="G810" s="301"/>
    </row>
    <row r="811">
      <c r="G811" s="301"/>
    </row>
    <row r="812">
      <c r="G812" s="301"/>
    </row>
    <row r="813">
      <c r="G813" s="301"/>
    </row>
    <row r="814">
      <c r="G814" s="301"/>
    </row>
    <row r="815">
      <c r="G815" s="301"/>
    </row>
    <row r="816">
      <c r="G816" s="301"/>
    </row>
    <row r="817">
      <c r="G817" s="301"/>
    </row>
    <row r="818">
      <c r="G818" s="301"/>
    </row>
    <row r="819">
      <c r="G819" s="301"/>
    </row>
    <row r="820">
      <c r="G820" s="301"/>
    </row>
    <row r="821">
      <c r="G821" s="301"/>
    </row>
    <row r="822">
      <c r="G822" s="301"/>
    </row>
    <row r="823">
      <c r="G823" s="301"/>
    </row>
    <row r="824">
      <c r="G824" s="301"/>
    </row>
    <row r="825">
      <c r="G825" s="301"/>
    </row>
    <row r="826">
      <c r="G826" s="301"/>
    </row>
    <row r="827">
      <c r="G827" s="301"/>
    </row>
    <row r="828">
      <c r="G828" s="301"/>
    </row>
    <row r="829">
      <c r="G829" s="301"/>
    </row>
    <row r="830">
      <c r="G830" s="301"/>
    </row>
    <row r="831">
      <c r="G831" s="301"/>
    </row>
    <row r="832">
      <c r="G832" s="301"/>
    </row>
    <row r="833">
      <c r="G833" s="301"/>
    </row>
    <row r="834">
      <c r="G834" s="301"/>
    </row>
    <row r="835">
      <c r="G835" s="301"/>
    </row>
    <row r="836">
      <c r="G836" s="301"/>
    </row>
    <row r="837">
      <c r="G837" s="301"/>
    </row>
    <row r="838">
      <c r="G838" s="301"/>
    </row>
    <row r="839">
      <c r="G839" s="301"/>
    </row>
    <row r="840">
      <c r="G840" s="301"/>
    </row>
    <row r="841">
      <c r="G841" s="301"/>
    </row>
    <row r="842">
      <c r="G842" s="301"/>
    </row>
    <row r="843">
      <c r="G843" s="301"/>
    </row>
    <row r="844">
      <c r="G844" s="301"/>
    </row>
    <row r="845">
      <c r="G845" s="301"/>
    </row>
    <row r="846">
      <c r="G846" s="301"/>
    </row>
    <row r="847">
      <c r="G847" s="301"/>
    </row>
    <row r="848">
      <c r="G848" s="301"/>
    </row>
    <row r="849">
      <c r="G849" s="301"/>
    </row>
    <row r="850">
      <c r="G850" s="301"/>
    </row>
    <row r="851">
      <c r="G851" s="301"/>
    </row>
    <row r="852">
      <c r="G852" s="301"/>
    </row>
    <row r="853">
      <c r="G853" s="301"/>
    </row>
    <row r="854">
      <c r="G854" s="301"/>
    </row>
    <row r="855">
      <c r="G855" s="301"/>
    </row>
    <row r="856">
      <c r="G856" s="301"/>
    </row>
    <row r="857">
      <c r="G857" s="301"/>
    </row>
    <row r="858">
      <c r="G858" s="301"/>
    </row>
    <row r="859">
      <c r="G859" s="301"/>
    </row>
    <row r="860">
      <c r="G860" s="301"/>
    </row>
    <row r="861">
      <c r="G861" s="301"/>
    </row>
    <row r="862">
      <c r="G862" s="301"/>
    </row>
    <row r="863">
      <c r="G863" s="301"/>
    </row>
    <row r="864">
      <c r="G864" s="301"/>
    </row>
    <row r="865">
      <c r="G865" s="301"/>
    </row>
    <row r="866">
      <c r="G866" s="301"/>
    </row>
    <row r="867">
      <c r="G867" s="301"/>
    </row>
    <row r="868">
      <c r="G868" s="301"/>
    </row>
    <row r="869">
      <c r="G869" s="301"/>
    </row>
    <row r="870">
      <c r="G870" s="301"/>
    </row>
    <row r="871">
      <c r="G871" s="301"/>
    </row>
    <row r="872">
      <c r="G872" s="301"/>
    </row>
    <row r="873">
      <c r="G873" s="301"/>
    </row>
    <row r="874">
      <c r="G874" s="301"/>
    </row>
    <row r="875">
      <c r="G875" s="301"/>
    </row>
    <row r="876">
      <c r="G876" s="301"/>
    </row>
    <row r="877">
      <c r="G877" s="301"/>
    </row>
    <row r="878">
      <c r="G878" s="301"/>
    </row>
    <row r="879">
      <c r="G879" s="301"/>
    </row>
    <row r="880">
      <c r="G880" s="301"/>
    </row>
    <row r="881">
      <c r="G881" s="301"/>
    </row>
    <row r="882">
      <c r="G882" s="301"/>
    </row>
    <row r="883">
      <c r="G883" s="301"/>
    </row>
    <row r="884">
      <c r="G884" s="301"/>
    </row>
    <row r="885">
      <c r="G885" s="301"/>
    </row>
    <row r="886">
      <c r="G886" s="301"/>
    </row>
    <row r="887">
      <c r="G887" s="301"/>
    </row>
    <row r="888">
      <c r="G888" s="301"/>
    </row>
    <row r="889">
      <c r="G889" s="301"/>
    </row>
    <row r="890">
      <c r="G890" s="301"/>
    </row>
    <row r="891">
      <c r="G891" s="301"/>
    </row>
    <row r="892">
      <c r="G892" s="301"/>
    </row>
    <row r="893">
      <c r="G893" s="301"/>
    </row>
    <row r="894">
      <c r="G894" s="301"/>
    </row>
    <row r="895">
      <c r="G895" s="301"/>
    </row>
    <row r="896">
      <c r="G896" s="301"/>
    </row>
    <row r="897">
      <c r="G897" s="301"/>
    </row>
    <row r="898">
      <c r="G898" s="301"/>
    </row>
    <row r="899">
      <c r="G899" s="301"/>
    </row>
    <row r="900">
      <c r="G900" s="301"/>
    </row>
    <row r="901">
      <c r="G901" s="301"/>
    </row>
    <row r="902">
      <c r="G902" s="301"/>
    </row>
    <row r="903">
      <c r="G903" s="301"/>
    </row>
    <row r="904">
      <c r="G904" s="301"/>
    </row>
    <row r="905">
      <c r="G905" s="301"/>
    </row>
    <row r="906">
      <c r="G906" s="301"/>
    </row>
    <row r="907">
      <c r="G907" s="301"/>
    </row>
    <row r="908">
      <c r="G908" s="301"/>
    </row>
    <row r="909">
      <c r="G909" s="301"/>
    </row>
    <row r="910">
      <c r="G910" s="301"/>
    </row>
    <row r="911">
      <c r="G911" s="301"/>
    </row>
    <row r="912">
      <c r="G912" s="301"/>
    </row>
    <row r="913">
      <c r="G913" s="301"/>
    </row>
    <row r="914">
      <c r="G914" s="301"/>
    </row>
    <row r="915">
      <c r="G915" s="301"/>
    </row>
    <row r="916">
      <c r="G916" s="301"/>
    </row>
    <row r="917">
      <c r="G917" s="301"/>
    </row>
    <row r="918">
      <c r="G918" s="301"/>
    </row>
    <row r="919">
      <c r="G919" s="301"/>
    </row>
    <row r="920">
      <c r="G920" s="301"/>
    </row>
    <row r="921">
      <c r="G921" s="301"/>
    </row>
    <row r="922">
      <c r="G922" s="301"/>
    </row>
    <row r="923">
      <c r="G923" s="301"/>
    </row>
    <row r="924">
      <c r="G924" s="301"/>
    </row>
    <row r="925">
      <c r="G925" s="301"/>
    </row>
    <row r="926">
      <c r="G926" s="301"/>
    </row>
    <row r="927">
      <c r="G927" s="301"/>
    </row>
    <row r="928">
      <c r="G928" s="301"/>
    </row>
    <row r="929">
      <c r="G929" s="301"/>
    </row>
    <row r="930">
      <c r="G930" s="301"/>
    </row>
    <row r="931">
      <c r="G931" s="301"/>
    </row>
    <row r="932">
      <c r="G932" s="301"/>
    </row>
    <row r="933">
      <c r="G933" s="301"/>
    </row>
    <row r="934">
      <c r="G934" s="301"/>
    </row>
    <row r="935">
      <c r="G935" s="301"/>
    </row>
    <row r="936">
      <c r="G936" s="301"/>
    </row>
    <row r="937">
      <c r="G937" s="301"/>
    </row>
    <row r="938">
      <c r="G938" s="301"/>
    </row>
    <row r="939">
      <c r="G939" s="301"/>
    </row>
    <row r="940">
      <c r="G940" s="301"/>
    </row>
    <row r="941">
      <c r="G941" s="301"/>
    </row>
    <row r="942">
      <c r="G942" s="301"/>
    </row>
    <row r="943">
      <c r="G943" s="301"/>
    </row>
    <row r="944">
      <c r="G944" s="301"/>
    </row>
    <row r="945">
      <c r="G945" s="301"/>
    </row>
    <row r="946">
      <c r="G946" s="301"/>
    </row>
    <row r="947">
      <c r="G947" s="301"/>
    </row>
    <row r="948">
      <c r="G948" s="301"/>
    </row>
    <row r="949">
      <c r="G949" s="301"/>
    </row>
    <row r="950">
      <c r="G950" s="301"/>
    </row>
    <row r="951">
      <c r="G951" s="301"/>
    </row>
    <row r="952">
      <c r="G952" s="301"/>
    </row>
    <row r="953">
      <c r="G953" s="301"/>
    </row>
    <row r="954">
      <c r="G954" s="301"/>
    </row>
    <row r="955">
      <c r="G955" s="301"/>
    </row>
    <row r="956">
      <c r="G956" s="301"/>
    </row>
    <row r="957">
      <c r="G957" s="301"/>
    </row>
    <row r="958">
      <c r="G958" s="301"/>
    </row>
    <row r="959">
      <c r="G959" s="301"/>
    </row>
    <row r="960">
      <c r="G960" s="301"/>
    </row>
    <row r="961">
      <c r="G961" s="301"/>
    </row>
    <row r="962">
      <c r="G962" s="301"/>
    </row>
    <row r="963">
      <c r="G963" s="301"/>
    </row>
    <row r="964">
      <c r="G964" s="301"/>
    </row>
    <row r="965">
      <c r="G965" s="301"/>
    </row>
    <row r="966">
      <c r="G966" s="301"/>
    </row>
    <row r="967">
      <c r="G967" s="301"/>
    </row>
    <row r="968">
      <c r="G968" s="301"/>
    </row>
    <row r="969">
      <c r="G969" s="301"/>
    </row>
    <row r="970">
      <c r="G970" s="301"/>
    </row>
    <row r="971">
      <c r="G971" s="301"/>
    </row>
    <row r="972">
      <c r="G972" s="301"/>
    </row>
    <row r="973">
      <c r="G973" s="301"/>
    </row>
    <row r="974">
      <c r="G974" s="301"/>
    </row>
    <row r="975">
      <c r="G975" s="301"/>
    </row>
    <row r="976">
      <c r="G976" s="301"/>
    </row>
    <row r="977">
      <c r="G977" s="301"/>
    </row>
    <row r="978">
      <c r="G978" s="301"/>
    </row>
    <row r="979">
      <c r="G979" s="301"/>
    </row>
    <row r="980">
      <c r="G980" s="301"/>
    </row>
    <row r="981">
      <c r="G981" s="301"/>
    </row>
    <row r="982">
      <c r="G982" s="301"/>
    </row>
    <row r="983">
      <c r="G983" s="301"/>
    </row>
    <row r="984">
      <c r="G984" s="301"/>
    </row>
    <row r="985">
      <c r="G985" s="301"/>
    </row>
    <row r="986">
      <c r="G986" s="301"/>
    </row>
    <row r="987">
      <c r="G987" s="301"/>
    </row>
    <row r="988">
      <c r="G988" s="301"/>
    </row>
    <row r="989">
      <c r="G989" s="301"/>
    </row>
    <row r="990">
      <c r="G990" s="301"/>
    </row>
    <row r="991">
      <c r="G991" s="301"/>
    </row>
    <row r="992">
      <c r="G992" s="301"/>
    </row>
    <row r="993">
      <c r="G993" s="301"/>
    </row>
    <row r="994">
      <c r="G994" s="301"/>
    </row>
    <row r="995">
      <c r="G995" s="301"/>
    </row>
    <row r="996">
      <c r="G996" s="301"/>
    </row>
    <row r="997">
      <c r="G997" s="301"/>
    </row>
    <row r="998">
      <c r="G998" s="301"/>
    </row>
    <row r="999">
      <c r="G999" s="301"/>
    </row>
    <row r="1000">
      <c r="G1000" s="301"/>
    </row>
    <row r="1001">
      <c r="G1001" s="301"/>
    </row>
    <row r="1002">
      <c r="G1002" s="301"/>
    </row>
    <row r="1003">
      <c r="G1003" s="301"/>
    </row>
    <row r="1004">
      <c r="G1004" s="301"/>
    </row>
    <row r="1005">
      <c r="G1005" s="301"/>
    </row>
    <row r="1006">
      <c r="G1006" s="301"/>
    </row>
    <row r="1007">
      <c r="G1007" s="301"/>
    </row>
    <row r="1008">
      <c r="G1008" s="301"/>
    </row>
    <row r="1009">
      <c r="G1009" s="301"/>
    </row>
    <row r="1010">
      <c r="G1010" s="301"/>
    </row>
    <row r="1011">
      <c r="G1011" s="301"/>
    </row>
    <row r="1012">
      <c r="G1012" s="301"/>
    </row>
    <row r="1013">
      <c r="G1013" s="301"/>
    </row>
    <row r="1014">
      <c r="G1014" s="301"/>
    </row>
    <row r="1015">
      <c r="G1015" s="301"/>
    </row>
    <row r="1016">
      <c r="G1016" s="301"/>
    </row>
    <row r="1017">
      <c r="G1017" s="301"/>
    </row>
    <row r="1018">
      <c r="G1018" s="301"/>
    </row>
    <row r="1019">
      <c r="G1019" s="301"/>
    </row>
    <row r="1020">
      <c r="G1020" s="301"/>
    </row>
    <row r="1021">
      <c r="G1021" s="301"/>
    </row>
    <row r="1022">
      <c r="G1022" s="301"/>
    </row>
    <row r="1023">
      <c r="G1023" s="301"/>
    </row>
    <row r="1024">
      <c r="G1024" s="301"/>
    </row>
    <row r="1025">
      <c r="G1025" s="301"/>
    </row>
    <row r="1026">
      <c r="G1026" s="301"/>
    </row>
    <row r="1027">
      <c r="G1027" s="301"/>
    </row>
    <row r="1028">
      <c r="G1028" s="301"/>
    </row>
    <row r="1029">
      <c r="G1029" s="301"/>
    </row>
    <row r="1030">
      <c r="G1030" s="301"/>
    </row>
    <row r="1031">
      <c r="G1031" s="301"/>
    </row>
    <row r="1032">
      <c r="G1032" s="301"/>
    </row>
    <row r="1033">
      <c r="G1033" s="301"/>
    </row>
    <row r="1034">
      <c r="G1034" s="301"/>
    </row>
    <row r="1035">
      <c r="G1035" s="301"/>
    </row>
    <row r="1036">
      <c r="G1036" s="301"/>
    </row>
    <row r="1037">
      <c r="G1037" s="301"/>
    </row>
    <row r="1038">
      <c r="G1038" s="301"/>
    </row>
    <row r="1039">
      <c r="G1039" s="301"/>
    </row>
    <row r="1040">
      <c r="G1040" s="301"/>
    </row>
    <row r="1041">
      <c r="G1041" s="301"/>
    </row>
    <row r="1042">
      <c r="G1042" s="301"/>
    </row>
    <row r="1043">
      <c r="G1043" s="301"/>
    </row>
    <row r="1044">
      <c r="G1044" s="301"/>
    </row>
    <row r="1045">
      <c r="G1045" s="301"/>
    </row>
  </sheetData>
  <mergeCells count="43">
    <mergeCell ref="B2:H2"/>
    <mergeCell ref="F3:G3"/>
    <mergeCell ref="K3:Q3"/>
    <mergeCell ref="F4:G4"/>
    <mergeCell ref="F5:G5"/>
    <mergeCell ref="F6:G6"/>
    <mergeCell ref="D7:D8"/>
    <mergeCell ref="F16:G16"/>
    <mergeCell ref="F17:G17"/>
    <mergeCell ref="F18:G18"/>
    <mergeCell ref="F19:G19"/>
    <mergeCell ref="L19:U19"/>
    <mergeCell ref="L24:R24"/>
    <mergeCell ref="AB28:AJ28"/>
    <mergeCell ref="O34:P34"/>
    <mergeCell ref="B37:B38"/>
    <mergeCell ref="L37:U37"/>
    <mergeCell ref="A42:E42"/>
    <mergeCell ref="A43:E43"/>
    <mergeCell ref="A44:E44"/>
    <mergeCell ref="B45:E45"/>
    <mergeCell ref="B15:C15"/>
    <mergeCell ref="B60:C60"/>
    <mergeCell ref="B61:C61"/>
    <mergeCell ref="B62:C62"/>
    <mergeCell ref="B63:C63"/>
    <mergeCell ref="F8:H8"/>
    <mergeCell ref="F9:G9"/>
    <mergeCell ref="F11:G11"/>
    <mergeCell ref="F12:G12"/>
    <mergeCell ref="F13:G13"/>
    <mergeCell ref="F15:H15"/>
    <mergeCell ref="A22:G22"/>
    <mergeCell ref="L74:M74"/>
    <mergeCell ref="L75:M75"/>
    <mergeCell ref="L76:M76"/>
    <mergeCell ref="O35:P35"/>
    <mergeCell ref="O49:P49"/>
    <mergeCell ref="O61:P61"/>
    <mergeCell ref="L70:M70"/>
    <mergeCell ref="L71:M71"/>
    <mergeCell ref="L72:M72"/>
    <mergeCell ref="L73:M73"/>
  </mergeCells>
  <conditionalFormatting sqref="E24:E40">
    <cfRule type="cellIs" dxfId="0" priority="1" operator="equal">
      <formula>0</formula>
    </cfRule>
  </conditionalFormatting>
  <dataValidations>
    <dataValidation type="list" allowBlank="1" sqref="C40">
      <formula1>Master!$M$5:$M$12</formula1>
    </dataValidation>
    <dataValidation type="list" allowBlank="1" sqref="C7:C8 C24:C25">
      <formula1>Master!$C$5:$C$48</formula1>
    </dataValidation>
    <dataValidation type="list" allowBlank="1" showErrorMessage="1" sqref="C13">
      <formula1>"Yes,No"</formula1>
    </dataValidation>
    <dataValidation type="list" allowBlank="1" sqref="C36">
      <formula1>Master!$C$68:$C$81</formula1>
    </dataValidation>
    <dataValidation type="list" allowBlank="1" sqref="C37:C38">
      <formula1>Master!$C$111:$C$143</formula1>
    </dataValidation>
    <dataValidation type="list" allowBlank="1" sqref="C31">
      <formula1>Master!$C$85:$C$86</formula1>
    </dataValidation>
    <dataValidation type="list" allowBlank="1" sqref="C11">
      <formula1>Master!$C$88:$C$90</formula1>
    </dataValidation>
    <dataValidation type="list" allowBlank="1" sqref="C10">
      <formula1>Master!$C$51:$C$66</formula1>
    </dataValidation>
    <dataValidation type="list" allowBlank="1" sqref="C9 C26 C28">
      <formula1>Master!$C$49:$C$62</formula1>
    </dataValidation>
    <dataValidation type="list" allowBlank="1" sqref="C12">
      <formula1>Master!$D$93:$D$113</formula1>
    </dataValidation>
    <dataValidation type="list" allowBlank="1" showErrorMessage="1" sqref="F9">
      <formula1>Master!$C$68:$C$81</formula1>
    </dataValidation>
    <dataValidation type="list" allowBlank="1" showDropDown="1" showErrorMessage="1" sqref="C32">
      <formula1>Master!$C$88:$C$90</formula1>
    </dataValidation>
    <dataValidation type="list" allowBlank="1" sqref="C39">
      <formula1>"2.5%,5%"</formula1>
    </dataValidation>
    <dataValidation type="list" allowBlank="1" showDropDown="1" showErrorMessage="1" sqref="C33">
      <formula1>Master!$D$93:$D$113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0.0" ySplit="2.0" topLeftCell="K3" activePane="bottomRight" state="frozen"/>
      <selection activeCell="K1" sqref="K1" pane="topRight"/>
      <selection activeCell="A3" sqref="A3" pane="bottomLeft"/>
      <selection activeCell="K3" sqref="K3" pane="bottomRight"/>
    </sheetView>
  </sheetViews>
  <sheetFormatPr customHeight="1" defaultColWidth="12.63" defaultRowHeight="15.75" outlineLevelRow="1"/>
  <cols>
    <col customWidth="1" min="1" max="1" width="6.38"/>
    <col customWidth="1" min="2" max="3" width="16.63"/>
    <col customWidth="1" min="4" max="4" width="7.5"/>
    <col customWidth="1" min="5" max="5" width="11.13"/>
    <col customWidth="1" min="6" max="6" width="11.0"/>
    <col customWidth="1" min="7" max="7" width="13.0"/>
    <col customWidth="1" min="8" max="8" width="10.13"/>
    <col customWidth="1" min="9" max="10" width="8.5"/>
    <col customWidth="1" min="11" max="11" width="7.13"/>
    <col customWidth="1" min="12" max="12" width="9.5"/>
    <col customWidth="1" min="13" max="13" width="5.75"/>
    <col customWidth="1" min="14" max="15" width="9.88"/>
    <col customWidth="1" min="16" max="16" width="9.5"/>
    <col customWidth="1" min="17" max="17" width="10.0"/>
    <col customWidth="1" min="18" max="18" width="10.88"/>
    <col customWidth="1" min="20" max="20" width="12.13"/>
  </cols>
  <sheetData>
    <row r="1">
      <c r="A1" s="253"/>
      <c r="B1" s="414"/>
      <c r="C1" s="414"/>
      <c r="D1" s="414"/>
      <c r="E1" s="414"/>
      <c r="F1" s="414"/>
      <c r="G1" s="414"/>
      <c r="H1" s="414"/>
      <c r="I1" s="255"/>
      <c r="J1" s="255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</row>
    <row r="2" ht="28.5" customHeight="1">
      <c r="A2" s="253"/>
      <c r="B2" s="415" t="s">
        <v>302</v>
      </c>
      <c r="C2" s="100"/>
      <c r="D2" s="100"/>
      <c r="E2" s="100"/>
      <c r="F2" s="100"/>
      <c r="G2" s="100"/>
      <c r="H2" s="98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</row>
    <row r="3" ht="19.5" customHeight="1">
      <c r="A3" s="253"/>
      <c r="B3" s="258" t="s">
        <v>212</v>
      </c>
      <c r="C3" s="259">
        <v>1.0</v>
      </c>
      <c r="D3" s="260"/>
      <c r="F3" s="261" t="s">
        <v>213</v>
      </c>
      <c r="G3" s="262"/>
      <c r="H3" s="263">
        <v>5.0</v>
      </c>
      <c r="K3" s="279" t="s">
        <v>303</v>
      </c>
      <c r="Q3" s="256"/>
      <c r="R3" s="256"/>
      <c r="S3" s="256"/>
      <c r="T3" s="256"/>
      <c r="U3" s="256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</row>
    <row r="4" ht="19.5" customHeight="1">
      <c r="A4" s="253"/>
      <c r="B4" s="264" t="s">
        <v>215</v>
      </c>
      <c r="C4" s="265">
        <v>0.75</v>
      </c>
      <c r="D4" s="266" t="s">
        <v>216</v>
      </c>
      <c r="F4" s="261" t="s">
        <v>217</v>
      </c>
      <c r="G4" s="262"/>
      <c r="H4" s="278">
        <v>2.0</v>
      </c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</row>
    <row r="5" ht="19.5" customHeight="1">
      <c r="A5" s="253"/>
      <c r="B5" s="264" t="s">
        <v>218</v>
      </c>
      <c r="C5" s="265">
        <v>1.5</v>
      </c>
      <c r="D5" s="266" t="s">
        <v>216</v>
      </c>
      <c r="F5" s="416"/>
      <c r="H5" s="41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</row>
    <row r="6" ht="19.5" customHeight="1">
      <c r="A6" s="253"/>
      <c r="B6" s="267" t="s">
        <v>220</v>
      </c>
      <c r="C6" s="265">
        <v>0.45</v>
      </c>
      <c r="D6" s="266" t="s">
        <v>216</v>
      </c>
      <c r="F6" s="417" t="s">
        <v>227</v>
      </c>
      <c r="G6" s="277"/>
      <c r="H6" s="418">
        <f>ROUNDUP(C4*C5*10.764,0)</f>
        <v>13</v>
      </c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5"/>
      <c r="W6" s="255"/>
      <c r="X6" s="255"/>
      <c r="Y6" s="255"/>
      <c r="Z6" s="255"/>
      <c r="AA6" s="255"/>
      <c r="AB6" s="255"/>
      <c r="AC6" s="255"/>
      <c r="AD6" s="255"/>
      <c r="AE6" s="255"/>
      <c r="AF6" s="255"/>
      <c r="AG6" s="255"/>
      <c r="AH6" s="255"/>
      <c r="AI6" s="255"/>
      <c r="AJ6" s="255"/>
    </row>
    <row r="7" ht="19.5" customHeight="1">
      <c r="A7" s="260"/>
      <c r="B7" s="268" t="s">
        <v>222</v>
      </c>
      <c r="C7" s="269" t="s">
        <v>39</v>
      </c>
      <c r="D7" s="270"/>
      <c r="F7" s="417" t="s">
        <v>229</v>
      </c>
      <c r="G7" s="277"/>
      <c r="H7" s="419">
        <f>H34</f>
        <v>1778.875109</v>
      </c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</row>
    <row r="8" ht="19.5" customHeight="1">
      <c r="A8" s="260"/>
      <c r="B8" s="274" t="s">
        <v>223</v>
      </c>
      <c r="C8" s="269" t="s">
        <v>39</v>
      </c>
      <c r="D8" s="270"/>
      <c r="F8" s="417" t="s">
        <v>232</v>
      </c>
      <c r="G8" s="277"/>
      <c r="H8" s="419">
        <f>G34</f>
        <v>23125.37641</v>
      </c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3"/>
    </row>
    <row r="9" ht="19.5" customHeight="1">
      <c r="A9" s="260"/>
      <c r="B9" s="274" t="s">
        <v>304</v>
      </c>
      <c r="C9" s="269" t="s">
        <v>117</v>
      </c>
      <c r="D9" s="270"/>
      <c r="F9" s="420"/>
      <c r="G9" s="421"/>
      <c r="H9" s="420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</row>
    <row r="10" ht="19.5" customHeight="1">
      <c r="A10" s="260"/>
      <c r="B10" s="284" t="s">
        <v>230</v>
      </c>
      <c r="C10" s="263" t="s">
        <v>231</v>
      </c>
      <c r="D10" s="270"/>
      <c r="F10" s="420"/>
      <c r="G10" s="421"/>
      <c r="H10" s="420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3"/>
      <c r="W10" s="273"/>
      <c r="X10" s="273"/>
      <c r="Y10" s="273"/>
      <c r="Z10" s="273"/>
      <c r="AA10" s="273"/>
      <c r="AB10" s="273"/>
      <c r="AC10" s="273"/>
      <c r="AD10" s="273"/>
      <c r="AE10" s="273"/>
      <c r="AF10" s="273"/>
      <c r="AG10" s="273"/>
      <c r="AH10" s="273"/>
      <c r="AI10" s="273"/>
      <c r="AJ10" s="273"/>
    </row>
    <row r="11" ht="13.5" customHeight="1">
      <c r="A11" s="256"/>
      <c r="B11" s="256"/>
      <c r="C11" s="256"/>
      <c r="D11" s="256"/>
      <c r="E11" s="256"/>
      <c r="F11" s="256"/>
      <c r="G11" s="422"/>
      <c r="H11" s="256"/>
      <c r="I11" s="256"/>
      <c r="J11" s="256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3"/>
      <c r="W11" s="273"/>
      <c r="X11" s="273"/>
      <c r="Y11" s="273"/>
      <c r="Z11" s="273"/>
      <c r="AA11" s="273"/>
      <c r="AB11" s="273"/>
      <c r="AC11" s="273"/>
      <c r="AD11" s="273"/>
      <c r="AE11" s="273"/>
      <c r="AF11" s="273"/>
      <c r="AG11" s="273"/>
      <c r="AH11" s="273"/>
      <c r="AI11" s="273"/>
      <c r="AJ11" s="273"/>
    </row>
    <row r="12" ht="20.25" customHeight="1">
      <c r="A12" s="275"/>
      <c r="B12" s="287" t="s">
        <v>233</v>
      </c>
      <c r="C12" s="98"/>
      <c r="D12" s="288"/>
      <c r="E12" s="288"/>
      <c r="F12" s="287" t="s">
        <v>234</v>
      </c>
      <c r="G12" s="100"/>
      <c r="H12" s="98"/>
      <c r="I12" s="279"/>
      <c r="J12" s="279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</row>
    <row r="13">
      <c r="A13" s="275"/>
      <c r="B13" s="289" t="s">
        <v>30</v>
      </c>
      <c r="C13" s="289" t="s">
        <v>235</v>
      </c>
      <c r="D13" s="288"/>
      <c r="E13" s="288"/>
      <c r="F13" s="290" t="s">
        <v>30</v>
      </c>
      <c r="G13" s="98"/>
      <c r="H13" s="289" t="s">
        <v>235</v>
      </c>
      <c r="I13" s="279"/>
      <c r="J13" s="279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</row>
    <row r="14">
      <c r="A14" s="291" t="s">
        <v>222</v>
      </c>
      <c r="B14" s="292">
        <f t="shared" ref="B14:B15" si="1">O46</f>
        <v>59.942025</v>
      </c>
      <c r="C14" s="293">
        <f t="shared" ref="C14:C15" si="2">Q46</f>
        <v>1.873188281</v>
      </c>
      <c r="D14" s="87"/>
      <c r="E14" s="87"/>
      <c r="F14" s="294">
        <f t="shared" ref="F14:F16" si="3">H14*32</f>
        <v>32</v>
      </c>
      <c r="G14" s="262"/>
      <c r="H14" s="293">
        <f t="shared" ref="H14:H16" si="4">1-I12</f>
        <v>1</v>
      </c>
      <c r="I14" s="279"/>
      <c r="J14" s="279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</row>
    <row r="15">
      <c r="A15" s="295" t="s">
        <v>223</v>
      </c>
      <c r="B15" s="292">
        <f t="shared" si="1"/>
        <v>13.32045</v>
      </c>
      <c r="C15" s="293">
        <f t="shared" si="2"/>
        <v>0.4162640625</v>
      </c>
      <c r="D15" s="87"/>
      <c r="E15" s="87"/>
      <c r="F15" s="294">
        <f t="shared" si="3"/>
        <v>32</v>
      </c>
      <c r="G15" s="262"/>
      <c r="H15" s="293">
        <f t="shared" si="4"/>
        <v>1</v>
      </c>
      <c r="I15" s="279"/>
      <c r="J15" s="279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</row>
    <row r="16">
      <c r="A16" s="295" t="s">
        <v>304</v>
      </c>
      <c r="B16" s="292">
        <f>IF(or(C9=Master!C61,C9=Master!C62),O49,O48)</f>
        <v>146.52495</v>
      </c>
      <c r="C16" s="293">
        <f>IF(or(C9=Master!C61,C9=Master!C62),O49,Q48)</f>
        <v>4.578904688</v>
      </c>
      <c r="D16" s="87"/>
      <c r="E16" s="87"/>
      <c r="F16" s="294">
        <f t="shared" si="3"/>
        <v>32</v>
      </c>
      <c r="G16" s="262"/>
      <c r="H16" s="293">
        <f t="shared" si="4"/>
        <v>1</v>
      </c>
      <c r="I16" s="279"/>
      <c r="J16" s="279"/>
      <c r="K16" s="272"/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</row>
    <row r="17" outlineLevel="1">
      <c r="A17" s="295"/>
      <c r="D17" s="255"/>
      <c r="E17" s="255"/>
      <c r="F17" s="255"/>
      <c r="G17" s="297"/>
      <c r="H17" s="255"/>
      <c r="I17" s="279"/>
      <c r="J17" s="279"/>
      <c r="K17" s="272"/>
      <c r="L17" s="296" t="s">
        <v>236</v>
      </c>
      <c r="M17" s="100"/>
      <c r="N17" s="100"/>
      <c r="O17" s="100"/>
      <c r="P17" s="100"/>
      <c r="Q17" s="100"/>
      <c r="R17" s="100"/>
      <c r="S17" s="100"/>
      <c r="T17" s="100"/>
      <c r="U17" s="98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</row>
    <row r="18" ht="18.0" customHeight="1" outlineLevel="1">
      <c r="A18" s="275"/>
      <c r="G18" s="301"/>
      <c r="I18" s="275"/>
      <c r="J18" s="275"/>
      <c r="K18" s="286"/>
      <c r="L18" s="298" t="s">
        <v>237</v>
      </c>
      <c r="M18" s="298" t="str">
        <f>upper(M20)</f>
        <v>NOS</v>
      </c>
      <c r="N18" s="298" t="s">
        <v>238</v>
      </c>
      <c r="O18" s="298" t="s">
        <v>239</v>
      </c>
      <c r="P18" s="298" t="s">
        <v>240</v>
      </c>
      <c r="Q18" s="299"/>
      <c r="R18" s="300" t="str">
        <f>upper(L26)</f>
        <v>SHELVES </v>
      </c>
      <c r="S18" s="300" t="s">
        <v>241</v>
      </c>
      <c r="T18" s="286"/>
      <c r="U18" s="286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</row>
    <row r="19" ht="24.75" customHeight="1" outlineLevel="1">
      <c r="A19" s="308" t="s">
        <v>245</v>
      </c>
      <c r="B19" s="100"/>
      <c r="C19" s="100"/>
      <c r="D19" s="100"/>
      <c r="E19" s="100"/>
      <c r="F19" s="100"/>
      <c r="G19" s="98"/>
      <c r="H19" s="302"/>
      <c r="I19" s="302"/>
      <c r="J19" s="302"/>
      <c r="K19" s="331"/>
      <c r="L19" s="303">
        <f>H6</f>
        <v>13</v>
      </c>
      <c r="M19" s="303">
        <f>$C$3</f>
        <v>1</v>
      </c>
      <c r="N19" s="303">
        <f>C4</f>
        <v>0.75</v>
      </c>
      <c r="O19" s="303">
        <f>C5</f>
        <v>1.5</v>
      </c>
      <c r="P19" s="304">
        <f>C6</f>
        <v>0.45</v>
      </c>
      <c r="Q19" s="305" t="s">
        <v>244</v>
      </c>
      <c r="R19" s="306">
        <f>H3</f>
        <v>5</v>
      </c>
      <c r="S19" s="306">
        <f>H4</f>
        <v>2</v>
      </c>
      <c r="T19" s="423"/>
      <c r="U19" s="423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</row>
    <row r="20" outlineLevel="1">
      <c r="A20" s="312" t="s">
        <v>5</v>
      </c>
      <c r="B20" s="313" t="s">
        <v>246</v>
      </c>
      <c r="C20" s="313" t="s">
        <v>247</v>
      </c>
      <c r="D20" s="314" t="s">
        <v>248</v>
      </c>
      <c r="E20" s="313" t="s">
        <v>249</v>
      </c>
      <c r="F20" s="314" t="s">
        <v>250</v>
      </c>
      <c r="G20" s="315" t="s">
        <v>251</v>
      </c>
      <c r="I20" s="424" t="s">
        <v>30</v>
      </c>
      <c r="J20" s="424" t="s">
        <v>235</v>
      </c>
      <c r="K20" s="87"/>
      <c r="L20" s="87"/>
      <c r="M20" s="318" t="s">
        <v>156</v>
      </c>
      <c r="N20" s="318" t="s">
        <v>252</v>
      </c>
      <c r="O20" s="319" t="s">
        <v>253</v>
      </c>
      <c r="P20" s="319" t="s">
        <v>254</v>
      </c>
      <c r="Q20" s="320" t="s">
        <v>255</v>
      </c>
      <c r="R20" s="321" t="s">
        <v>256</v>
      </c>
      <c r="S20" s="321" t="s">
        <v>257</v>
      </c>
      <c r="T20" s="425"/>
      <c r="U20" s="322"/>
    </row>
    <row r="21" outlineLevel="1">
      <c r="A21" s="323">
        <v>1.0</v>
      </c>
      <c r="B21" s="323" t="s">
        <v>259</v>
      </c>
      <c r="C21" s="323" t="s">
        <v>81</v>
      </c>
      <c r="D21" s="325" t="s">
        <v>258</v>
      </c>
      <c r="E21" s="344">
        <f>ROUNDUP(J21,0)</f>
        <v>3</v>
      </c>
      <c r="F21" s="327">
        <f>vlookup(C21,Master!$C$5:$H$110,6,0)</f>
        <v>1568</v>
      </c>
      <c r="G21" s="328">
        <f t="shared" ref="G21:G27" si="5">F21*E21</f>
        <v>4704</v>
      </c>
      <c r="I21" s="329">
        <f>Q28*1.1</f>
        <v>73.262475</v>
      </c>
      <c r="J21" s="426">
        <f t="shared" ref="J21:J22" si="6">I21/32</f>
        <v>2.289452344</v>
      </c>
      <c r="K21" s="331"/>
      <c r="L21" s="331" t="s">
        <v>259</v>
      </c>
      <c r="S21" s="332"/>
      <c r="T21" s="333"/>
      <c r="U21" s="333"/>
    </row>
    <row r="22" outlineLevel="1">
      <c r="A22" s="323">
        <v>2.0</v>
      </c>
      <c r="B22" s="334" t="s">
        <v>260</v>
      </c>
      <c r="C22" s="323" t="s">
        <v>111</v>
      </c>
      <c r="D22" s="325" t="s">
        <v>258</v>
      </c>
      <c r="E22" s="326">
        <f>C15</f>
        <v>0.4162640625</v>
      </c>
      <c r="F22" s="335">
        <f>vlookup(C22,Master!$C$5:$H$110,6,0)</f>
        <v>2496</v>
      </c>
      <c r="G22" s="328">
        <f t="shared" si="5"/>
        <v>1038.9951</v>
      </c>
      <c r="I22" s="427">
        <f>Q39*1.1</f>
        <v>146.52495</v>
      </c>
      <c r="J22" s="428">
        <f t="shared" si="6"/>
        <v>4.578904688</v>
      </c>
      <c r="K22" s="337"/>
      <c r="L22" s="337" t="s">
        <v>305</v>
      </c>
      <c r="M22" s="255">
        <f>$M$19</f>
        <v>1</v>
      </c>
      <c r="N22" s="338">
        <f>$N$19</f>
        <v>0.75</v>
      </c>
      <c r="O22" s="339">
        <f>$O$19</f>
        <v>1.5</v>
      </c>
      <c r="P22" s="340">
        <v>0.0</v>
      </c>
      <c r="Q22" s="341">
        <f>M22*N22*O22</f>
        <v>1.125</v>
      </c>
      <c r="R22" s="429" t="s">
        <v>301</v>
      </c>
      <c r="S22" s="333">
        <f>Q22</f>
        <v>1.125</v>
      </c>
      <c r="T22" s="333"/>
      <c r="U22" s="333"/>
    </row>
    <row r="23" outlineLevel="1">
      <c r="A23" s="323">
        <v>3.0</v>
      </c>
      <c r="B23" s="323" t="s">
        <v>304</v>
      </c>
      <c r="C23" s="323" t="str">
        <f>C9</f>
        <v>HGL Laminate </v>
      </c>
      <c r="D23" s="325" t="s">
        <v>258</v>
      </c>
      <c r="E23" s="326">
        <f>IF(or(C6=Master!C58,C6=Master!C59),B16,C16)</f>
        <v>4.578904688</v>
      </c>
      <c r="F23" s="327">
        <f>vlookup(C23,Master!$C$5:$H$110,6,0)</f>
        <v>1830</v>
      </c>
      <c r="G23" s="328">
        <f t="shared" si="5"/>
        <v>8379.395578</v>
      </c>
      <c r="J23" s="430"/>
      <c r="K23" s="87"/>
      <c r="L23" s="87" t="s">
        <v>262</v>
      </c>
      <c r="M23" s="255">
        <f t="shared" ref="M23:M24" si="7">$M$19*2</f>
        <v>2</v>
      </c>
      <c r="N23" s="345">
        <v>0.0</v>
      </c>
      <c r="O23" s="339">
        <f>O19</f>
        <v>1.5</v>
      </c>
      <c r="P23" s="339">
        <f t="shared" ref="P23:P26" si="8">$P$19</f>
        <v>0.45</v>
      </c>
      <c r="Q23" s="341">
        <f>M23*O23*P23</f>
        <v>1.35</v>
      </c>
      <c r="R23" s="429">
        <f t="shared" ref="R23:R26" si="9">Q23</f>
        <v>1.35</v>
      </c>
      <c r="S23" s="431">
        <v>0.0</v>
      </c>
      <c r="T23" s="333"/>
      <c r="U23" s="333"/>
    </row>
    <row r="24" outlineLevel="1">
      <c r="A24" s="323">
        <v>2.0</v>
      </c>
      <c r="B24" s="323" t="s">
        <v>263</v>
      </c>
      <c r="C24" s="323" t="str">
        <f>if(or(C23=Master!C57,C23=Master!C58),Master!C67,"NA")</f>
        <v>NA</v>
      </c>
      <c r="D24" s="325" t="s">
        <v>258</v>
      </c>
      <c r="E24" s="347">
        <f>N49</f>
        <v>133.2045</v>
      </c>
      <c r="F24" s="327" t="str">
        <f>ifna(vlookup(C24,Master!$C$5:$H$110,6,0),"")</f>
        <v/>
      </c>
      <c r="G24" s="328">
        <f t="shared" si="5"/>
        <v>0</v>
      </c>
      <c r="K24" s="87"/>
      <c r="L24" s="87" t="s">
        <v>264</v>
      </c>
      <c r="M24" s="255">
        <f t="shared" si="7"/>
        <v>2</v>
      </c>
      <c r="N24" s="338">
        <f>$N$19</f>
        <v>0.75</v>
      </c>
      <c r="O24" s="340">
        <v>0.0</v>
      </c>
      <c r="P24" s="339">
        <f t="shared" si="8"/>
        <v>0.45</v>
      </c>
      <c r="Q24" s="341">
        <f>M24*N24*P24</f>
        <v>0.675</v>
      </c>
      <c r="R24" s="429">
        <f t="shared" si="9"/>
        <v>0.675</v>
      </c>
      <c r="S24" s="431">
        <v>0.0</v>
      </c>
      <c r="T24" s="333"/>
      <c r="U24" s="333"/>
    </row>
    <row r="25" ht="20.25" customHeight="1" outlineLevel="1">
      <c r="A25" s="432">
        <v>3.0</v>
      </c>
      <c r="B25" s="325" t="s">
        <v>152</v>
      </c>
      <c r="C25" s="325" t="s">
        <v>306</v>
      </c>
      <c r="D25" s="325" t="s">
        <v>269</v>
      </c>
      <c r="E25" s="355">
        <f>E21</f>
        <v>3</v>
      </c>
      <c r="F25" s="325">
        <v>250.0</v>
      </c>
      <c r="G25" s="328">
        <f t="shared" si="5"/>
        <v>750</v>
      </c>
      <c r="I25" s="433"/>
      <c r="K25" s="87"/>
      <c r="L25" s="87" t="s">
        <v>265</v>
      </c>
      <c r="M25" s="255">
        <f>$S$19</f>
        <v>2</v>
      </c>
      <c r="N25" s="345">
        <v>0.0</v>
      </c>
      <c r="O25" s="339">
        <f>$O$19</f>
        <v>1.5</v>
      </c>
      <c r="P25" s="339">
        <f t="shared" si="8"/>
        <v>0.45</v>
      </c>
      <c r="Q25" s="341">
        <f>M25*O25*P25</f>
        <v>1.35</v>
      </c>
      <c r="R25" s="429">
        <f t="shared" si="9"/>
        <v>1.35</v>
      </c>
      <c r="S25" s="431">
        <v>0.0</v>
      </c>
      <c r="T25" s="333"/>
      <c r="U25" s="333"/>
      <c r="AB25" s="348" t="s">
        <v>245</v>
      </c>
    </row>
    <row r="26" outlineLevel="1">
      <c r="A26" s="323">
        <v>4.0</v>
      </c>
      <c r="B26" s="360" t="s">
        <v>154</v>
      </c>
      <c r="C26" s="360" t="s">
        <v>154</v>
      </c>
      <c r="D26" s="325" t="s">
        <v>269</v>
      </c>
      <c r="E26" s="361">
        <f>H6*0.15</f>
        <v>1.95</v>
      </c>
      <c r="F26" s="327">
        <f>vlookup(C26,Master!$C$5:$H$110,6,0)</f>
        <v>80</v>
      </c>
      <c r="G26" s="328">
        <f t="shared" si="5"/>
        <v>156</v>
      </c>
      <c r="K26" s="337"/>
      <c r="L26" s="337" t="s">
        <v>267</v>
      </c>
      <c r="M26" s="255">
        <f>$R$19</f>
        <v>5</v>
      </c>
      <c r="N26" s="338">
        <f>$N$19</f>
        <v>0.75</v>
      </c>
      <c r="O26" s="340">
        <v>0.0</v>
      </c>
      <c r="P26" s="339">
        <f t="shared" si="8"/>
        <v>0.45</v>
      </c>
      <c r="Q26" s="341">
        <f>M26*N26*P26</f>
        <v>1.6875</v>
      </c>
      <c r="R26" s="429">
        <f t="shared" si="9"/>
        <v>1.6875</v>
      </c>
      <c r="S26" s="431">
        <v>0.0</v>
      </c>
      <c r="T26" s="333"/>
      <c r="U26" s="333"/>
    </row>
    <row r="27" outlineLevel="1">
      <c r="A27" s="432">
        <v>5.0</v>
      </c>
      <c r="B27" s="323" t="s">
        <v>279</v>
      </c>
      <c r="C27" s="323" t="s">
        <v>145</v>
      </c>
      <c r="D27" s="325" t="s">
        <v>30</v>
      </c>
      <c r="E27" s="357">
        <v>0.0</v>
      </c>
      <c r="F27" s="327">
        <f>vlookup(C27,Master!$C$5:$H$110,6,0)</f>
        <v>880</v>
      </c>
      <c r="G27" s="328">
        <f t="shared" si="5"/>
        <v>0</v>
      </c>
      <c r="K27" s="350"/>
      <c r="L27" s="350"/>
      <c r="M27" s="351"/>
      <c r="N27" s="352"/>
      <c r="O27" s="358" t="s">
        <v>307</v>
      </c>
      <c r="Q27" s="359">
        <f t="shared" ref="Q27:S27" si="10">SUM(Q22:Q26)</f>
        <v>6.1875</v>
      </c>
      <c r="R27" s="359">
        <f t="shared" si="10"/>
        <v>5.0625</v>
      </c>
      <c r="S27" s="359">
        <f t="shared" si="10"/>
        <v>1.125</v>
      </c>
      <c r="T27" s="333"/>
      <c r="U27" s="333"/>
    </row>
    <row r="28" outlineLevel="1">
      <c r="A28" s="323">
        <v>6.0</v>
      </c>
      <c r="B28" s="364" t="s">
        <v>280</v>
      </c>
      <c r="C28" s="323" t="s">
        <v>210</v>
      </c>
      <c r="D28" s="325" t="s">
        <v>30</v>
      </c>
      <c r="E28" s="357">
        <v>0.0</v>
      </c>
      <c r="F28" s="327">
        <f>VLOOKUP(C28,Master!$C$5:$H$144,6,0)</f>
        <v>120</v>
      </c>
      <c r="G28" s="328">
        <f>(ifs(E28=0,0,E28&gt;=1,(E28*F28)))</f>
        <v>0</v>
      </c>
      <c r="K28" s="87"/>
      <c r="L28" s="87"/>
      <c r="M28" s="255"/>
      <c r="N28" s="338"/>
      <c r="O28" s="358" t="s">
        <v>308</v>
      </c>
      <c r="Q28" s="362">
        <f t="shared" ref="Q28:S28" si="11">Q27*10.764</f>
        <v>66.60225</v>
      </c>
      <c r="R28" s="362">
        <f t="shared" si="11"/>
        <v>54.49275</v>
      </c>
      <c r="S28" s="362">
        <f t="shared" si="11"/>
        <v>12.1095</v>
      </c>
      <c r="T28" s="333"/>
      <c r="U28" s="333"/>
    </row>
    <row r="29" outlineLevel="1">
      <c r="A29" s="432">
        <v>7.0</v>
      </c>
      <c r="B29" s="366"/>
      <c r="C29" s="323" t="s">
        <v>200</v>
      </c>
      <c r="D29" s="325" t="s">
        <v>30</v>
      </c>
      <c r="E29" s="357">
        <v>0.0</v>
      </c>
      <c r="F29" s="327">
        <f>VLOOKUP(C29,Master!$C$5:$H$144,6,0)</f>
        <v>93</v>
      </c>
      <c r="G29" s="328">
        <f t="shared" ref="G29:G31" si="12">F29*E29</f>
        <v>0</v>
      </c>
      <c r="K29" s="87"/>
      <c r="L29" s="87"/>
      <c r="M29" s="255"/>
      <c r="N29" s="345"/>
      <c r="O29" s="338"/>
      <c r="P29" s="338"/>
      <c r="Q29" s="341"/>
      <c r="R29" s="389"/>
      <c r="S29" s="332"/>
      <c r="T29" s="333"/>
      <c r="U29" s="333"/>
    </row>
    <row r="30" outlineLevel="1">
      <c r="A30" s="432">
        <v>8.0</v>
      </c>
      <c r="B30" s="369" t="s">
        <v>283</v>
      </c>
      <c r="C30" s="370">
        <v>0.025</v>
      </c>
      <c r="D30" s="325" t="s">
        <v>284</v>
      </c>
      <c r="E30" s="357">
        <v>1.0</v>
      </c>
      <c r="F30" s="361">
        <f>(sum(G21:G24)*C30)</f>
        <v>353.059767</v>
      </c>
      <c r="G30" s="328">
        <f t="shared" si="12"/>
        <v>353.059767</v>
      </c>
      <c r="K30" s="87"/>
      <c r="L30" s="87"/>
      <c r="M30" s="255"/>
      <c r="N30" s="338"/>
      <c r="O30" s="338"/>
      <c r="P30" s="345"/>
      <c r="Q30" s="341"/>
      <c r="R30" s="332"/>
      <c r="S30" s="332"/>
      <c r="T30" s="333"/>
      <c r="U30" s="333"/>
    </row>
    <row r="31" outlineLevel="1">
      <c r="A31" s="432">
        <v>9.0</v>
      </c>
      <c r="B31" s="323" t="s">
        <v>286</v>
      </c>
      <c r="C31" s="323" t="s">
        <v>309</v>
      </c>
      <c r="D31" s="325" t="s">
        <v>30</v>
      </c>
      <c r="E31" s="361">
        <f>H6</f>
        <v>13</v>
      </c>
      <c r="F31" s="325">
        <v>290.0</v>
      </c>
      <c r="G31" s="328">
        <f t="shared" si="12"/>
        <v>3770</v>
      </c>
      <c r="K31" s="87"/>
      <c r="L31" s="363" t="s">
        <v>281</v>
      </c>
      <c r="U31" s="365"/>
    </row>
    <row r="32" outlineLevel="1">
      <c r="A32" s="434">
        <v>10.0</v>
      </c>
      <c r="B32" s="373" t="s">
        <v>287</v>
      </c>
      <c r="C32" s="374"/>
      <c r="D32" s="374"/>
      <c r="E32" s="374"/>
      <c r="F32" s="435">
        <v>0.05</v>
      </c>
      <c r="G32" s="328">
        <f>SUM(G21:G31)*F32</f>
        <v>957.5725223</v>
      </c>
      <c r="K32" s="87"/>
      <c r="L32" s="367"/>
      <c r="M32" s="87"/>
      <c r="N32" s="87"/>
      <c r="O32" s="368"/>
      <c r="P32" s="368"/>
      <c r="Q32" s="368"/>
      <c r="R32" s="368"/>
      <c r="S32" s="332"/>
      <c r="T32" s="322"/>
      <c r="U32" s="322"/>
    </row>
    <row r="33" outlineLevel="1">
      <c r="A33" s="378" t="s">
        <v>288</v>
      </c>
      <c r="B33" s="100"/>
      <c r="C33" s="100"/>
      <c r="D33" s="100"/>
      <c r="E33" s="98"/>
      <c r="F33" s="379"/>
      <c r="G33" s="380">
        <f>SUM(G14:G32)</f>
        <v>20109.02297</v>
      </c>
      <c r="H33" s="380">
        <f t="shared" ref="H33:H35" si="13">G33/$H$6</f>
        <v>1546.847921</v>
      </c>
      <c r="I33" s="381" t="s">
        <v>289</v>
      </c>
      <c r="K33" s="363"/>
      <c r="L33" s="337" t="s">
        <v>305</v>
      </c>
      <c r="M33" s="255">
        <f>$M$19*2</f>
        <v>2</v>
      </c>
      <c r="N33" s="338">
        <f>$N$19</f>
        <v>0.75</v>
      </c>
      <c r="O33" s="339">
        <f t="shared" ref="O33:O34" si="14">$O$19</f>
        <v>1.5</v>
      </c>
      <c r="P33" s="340">
        <v>0.0</v>
      </c>
      <c r="Q33" s="341">
        <f>M33*N33*O33</f>
        <v>2.25</v>
      </c>
      <c r="R33" s="368"/>
      <c r="S33" s="332"/>
      <c r="T33" s="322"/>
      <c r="U33" s="322"/>
    </row>
    <row r="34" outlineLevel="1">
      <c r="A34" s="378" t="s">
        <v>290</v>
      </c>
      <c r="B34" s="100"/>
      <c r="C34" s="100"/>
      <c r="D34" s="100"/>
      <c r="E34" s="98"/>
      <c r="F34" s="382">
        <v>0.15</v>
      </c>
      <c r="G34" s="383">
        <f>G33+G33*F34</f>
        <v>23125.37641</v>
      </c>
      <c r="H34" s="380">
        <f t="shared" si="13"/>
        <v>1778.875109</v>
      </c>
      <c r="I34" s="381" t="s">
        <v>289</v>
      </c>
      <c r="K34" s="363"/>
      <c r="L34" s="87" t="s">
        <v>262</v>
      </c>
      <c r="M34" s="255">
        <f t="shared" ref="M34:M35" si="15">$M$19*4</f>
        <v>4</v>
      </c>
      <c r="N34" s="345">
        <v>0.0</v>
      </c>
      <c r="O34" s="339">
        <f t="shared" si="14"/>
        <v>1.5</v>
      </c>
      <c r="P34" s="339">
        <f t="shared" ref="P34:P37" si="16">$P$19</f>
        <v>0.45</v>
      </c>
      <c r="Q34" s="341">
        <f>M34*O34*P34</f>
        <v>2.7</v>
      </c>
      <c r="R34" s="368"/>
      <c r="S34" s="332"/>
      <c r="T34" s="322"/>
      <c r="U34" s="322"/>
    </row>
    <row r="35" outlineLevel="1">
      <c r="A35" s="385" t="s">
        <v>291</v>
      </c>
      <c r="B35" s="100"/>
      <c r="C35" s="100"/>
      <c r="D35" s="100"/>
      <c r="E35" s="98"/>
      <c r="F35" s="382">
        <v>0.4</v>
      </c>
      <c r="G35" s="383">
        <f>ROUNDUP(G34/(1-F35),0)</f>
        <v>38543</v>
      </c>
      <c r="H35" s="380">
        <f t="shared" si="13"/>
        <v>2964.846154</v>
      </c>
      <c r="I35" s="381" t="s">
        <v>289</v>
      </c>
      <c r="K35" s="367"/>
      <c r="L35" s="87" t="s">
        <v>264</v>
      </c>
      <c r="M35" s="255">
        <f t="shared" si="15"/>
        <v>4</v>
      </c>
      <c r="N35" s="338">
        <f>$N$19</f>
        <v>0.75</v>
      </c>
      <c r="O35" s="340">
        <v>0.0</v>
      </c>
      <c r="P35" s="339">
        <f t="shared" si="16"/>
        <v>0.45</v>
      </c>
      <c r="Q35" s="341">
        <f>M35*N35*P35</f>
        <v>1.35</v>
      </c>
      <c r="R35" s="368"/>
      <c r="S35" s="332"/>
      <c r="T35" s="322"/>
      <c r="U35" s="322"/>
    </row>
    <row r="36" outlineLevel="1">
      <c r="A36" s="87"/>
      <c r="B36" s="436"/>
      <c r="F36" s="437"/>
      <c r="G36" s="438"/>
      <c r="H36" s="438"/>
      <c r="I36" s="384"/>
      <c r="K36" s="337"/>
      <c r="L36" s="87" t="s">
        <v>265</v>
      </c>
      <c r="M36" s="255">
        <f>S19*2</f>
        <v>4</v>
      </c>
      <c r="N36" s="345">
        <v>0.0</v>
      </c>
      <c r="O36" s="339">
        <f>$O$19</f>
        <v>1.5</v>
      </c>
      <c r="P36" s="339">
        <f t="shared" si="16"/>
        <v>0.45</v>
      </c>
      <c r="Q36" s="341">
        <f>M36*O36*P36</f>
        <v>2.7</v>
      </c>
      <c r="R36" s="368"/>
      <c r="S36" s="332"/>
      <c r="T36" s="322"/>
      <c r="U36" s="322"/>
      <c r="V36" s="322"/>
    </row>
    <row r="37" outlineLevel="1">
      <c r="G37" s="301"/>
      <c r="J37" s="377"/>
      <c r="K37" s="87"/>
      <c r="L37" s="337" t="s">
        <v>267</v>
      </c>
      <c r="M37" s="255">
        <f>R19*2</f>
        <v>10</v>
      </c>
      <c r="N37" s="338">
        <f>$N$19</f>
        <v>0.75</v>
      </c>
      <c r="O37" s="340">
        <v>0.0</v>
      </c>
      <c r="P37" s="339">
        <f t="shared" si="16"/>
        <v>0.45</v>
      </c>
      <c r="Q37" s="341">
        <f>M37*N37*P37</f>
        <v>3.375</v>
      </c>
      <c r="R37" s="368"/>
      <c r="S37" s="332"/>
      <c r="T37" s="322"/>
      <c r="U37" s="322"/>
      <c r="V37" s="322"/>
    </row>
    <row r="38" outlineLevel="1">
      <c r="G38" s="301"/>
      <c r="J38" s="377"/>
      <c r="K38" s="87"/>
      <c r="L38" s="350"/>
      <c r="M38" s="351"/>
      <c r="N38" s="352"/>
      <c r="P38" s="387"/>
      <c r="Q38" s="359">
        <f>SUM(Q33:Q37)</f>
        <v>12.375</v>
      </c>
      <c r="R38" s="389" t="s">
        <v>292</v>
      </c>
      <c r="S38" s="332"/>
      <c r="T38" s="322"/>
      <c r="U38" s="322"/>
      <c r="V38" s="322"/>
    </row>
    <row r="39" outlineLevel="1">
      <c r="G39" s="301"/>
      <c r="J39" s="384"/>
      <c r="K39" s="87"/>
      <c r="L39" s="87"/>
      <c r="M39" s="255"/>
      <c r="N39" s="338"/>
      <c r="O39" s="358" t="s">
        <v>293</v>
      </c>
      <c r="Q39" s="362">
        <f>Q38*10.764</f>
        <v>133.2045</v>
      </c>
      <c r="R39" s="390" t="s">
        <v>30</v>
      </c>
      <c r="S39" s="332"/>
      <c r="T39" s="322"/>
      <c r="U39" s="322"/>
      <c r="V39" s="322"/>
    </row>
    <row r="40" outlineLevel="1">
      <c r="G40" s="301"/>
      <c r="J40" s="384"/>
      <c r="K40" s="337"/>
      <c r="V40" s="322"/>
    </row>
    <row r="41" outlineLevel="1">
      <c r="G41" s="301"/>
      <c r="K41" s="350"/>
      <c r="V41" s="322"/>
    </row>
    <row r="42" outlineLevel="1">
      <c r="G42" s="301"/>
      <c r="K42" s="87"/>
    </row>
    <row r="43" outlineLevel="1">
      <c r="A43" s="87"/>
      <c r="B43" s="87"/>
      <c r="C43" s="87"/>
      <c r="D43" s="87"/>
      <c r="G43" s="301"/>
      <c r="K43" s="87"/>
      <c r="L43" s="87"/>
      <c r="M43" s="255"/>
      <c r="N43" s="345"/>
      <c r="O43" s="338"/>
      <c r="P43" s="338"/>
      <c r="Q43" s="341"/>
      <c r="R43" s="368"/>
      <c r="S43" s="332"/>
      <c r="T43" s="322"/>
      <c r="U43" s="322"/>
    </row>
    <row r="44" outlineLevel="1">
      <c r="A44" s="87"/>
      <c r="B44" s="87"/>
      <c r="C44" s="87"/>
      <c r="D44" s="87"/>
      <c r="E44" s="87"/>
      <c r="F44" s="87"/>
      <c r="G44" s="368"/>
      <c r="H44" s="87"/>
      <c r="I44" s="87"/>
      <c r="J44" s="87"/>
      <c r="K44" s="87"/>
      <c r="L44" s="87"/>
      <c r="M44" s="255"/>
      <c r="N44" s="338"/>
      <c r="O44" s="338"/>
      <c r="P44" s="345"/>
      <c r="Q44" s="341"/>
      <c r="R44" s="368"/>
      <c r="S44" s="332"/>
      <c r="T44" s="322"/>
      <c r="U44" s="322"/>
    </row>
    <row r="45" outlineLevel="1">
      <c r="A45" s="87"/>
      <c r="B45" s="87"/>
      <c r="C45" s="87"/>
      <c r="D45" s="87"/>
      <c r="E45" s="87"/>
      <c r="F45" s="87"/>
      <c r="G45" s="368"/>
      <c r="H45" s="87"/>
      <c r="I45" s="87"/>
      <c r="J45" s="87"/>
      <c r="K45" s="87"/>
      <c r="L45" s="395" t="s">
        <v>295</v>
      </c>
      <c r="M45" s="98"/>
      <c r="N45" s="396" t="s">
        <v>296</v>
      </c>
      <c r="O45" s="397" t="s">
        <v>297</v>
      </c>
      <c r="P45" s="397" t="s">
        <v>298</v>
      </c>
      <c r="Q45" s="397" t="s">
        <v>299</v>
      </c>
      <c r="S45" s="332"/>
      <c r="T45" s="322"/>
      <c r="U45" s="322"/>
    </row>
    <row r="46" outlineLevel="1">
      <c r="A46" s="87"/>
      <c r="B46" s="87"/>
      <c r="C46" s="87"/>
      <c r="D46" s="87"/>
      <c r="E46" s="87"/>
      <c r="F46" s="87"/>
      <c r="G46" s="368"/>
      <c r="H46" s="87"/>
      <c r="I46" s="87"/>
      <c r="J46" s="87"/>
      <c r="K46" s="87"/>
      <c r="L46" s="398" t="s">
        <v>222</v>
      </c>
      <c r="M46" s="98"/>
      <c r="N46" s="399">
        <f>R28</f>
        <v>54.49275</v>
      </c>
      <c r="O46" s="399">
        <f t="shared" ref="O46:O48" si="17">N46*1.1</f>
        <v>59.942025</v>
      </c>
      <c r="P46" s="400">
        <f t="shared" ref="P46:P48" si="18">O46/32</f>
        <v>1.873188281</v>
      </c>
      <c r="Q46" s="400">
        <f t="shared" ref="Q46:Q48" si="19">if($C$13="Yes",ceiling(P46,1),P46)</f>
        <v>1.873188281</v>
      </c>
      <c r="R46" s="255"/>
      <c r="S46" s="332"/>
      <c r="T46" s="322"/>
      <c r="U46" s="322"/>
    </row>
    <row r="47" outlineLevel="1">
      <c r="A47" s="367"/>
      <c r="B47" s="367"/>
      <c r="C47" s="367"/>
      <c r="D47" s="367"/>
      <c r="E47" s="367"/>
      <c r="F47" s="367"/>
      <c r="G47" s="391"/>
      <c r="H47" s="367"/>
      <c r="I47" s="367"/>
      <c r="J47" s="367"/>
      <c r="K47" s="367"/>
      <c r="L47" s="401" t="s">
        <v>223</v>
      </c>
      <c r="M47" s="98"/>
      <c r="N47" s="399">
        <f>S28</f>
        <v>12.1095</v>
      </c>
      <c r="O47" s="399">
        <f t="shared" si="17"/>
        <v>13.32045</v>
      </c>
      <c r="P47" s="400">
        <f t="shared" si="18"/>
        <v>0.4162640625</v>
      </c>
      <c r="Q47" s="400">
        <f t="shared" si="19"/>
        <v>0.4162640625</v>
      </c>
      <c r="R47" s="368"/>
      <c r="S47" s="332"/>
      <c r="T47" s="322"/>
      <c r="U47" s="322"/>
    </row>
    <row r="48" outlineLevel="1">
      <c r="A48" s="337"/>
      <c r="B48" s="337"/>
      <c r="C48" s="337"/>
      <c r="D48" s="337"/>
      <c r="E48" s="337"/>
      <c r="F48" s="337"/>
      <c r="G48" s="392"/>
      <c r="H48" s="337"/>
      <c r="I48" s="337"/>
      <c r="J48" s="337"/>
      <c r="K48" s="337"/>
      <c r="L48" s="401" t="s">
        <v>310</v>
      </c>
      <c r="M48" s="98"/>
      <c r="N48" s="399">
        <f>Q39</f>
        <v>133.2045</v>
      </c>
      <c r="O48" s="399">
        <f t="shared" si="17"/>
        <v>146.52495</v>
      </c>
      <c r="P48" s="400">
        <f t="shared" si="18"/>
        <v>4.578904688</v>
      </c>
      <c r="Q48" s="400">
        <f t="shared" si="19"/>
        <v>4.578904688</v>
      </c>
      <c r="R48" s="368"/>
      <c r="S48" s="332"/>
      <c r="T48" s="322"/>
      <c r="U48" s="322"/>
    </row>
    <row r="49" outlineLevel="1">
      <c r="A49" s="87"/>
      <c r="B49" s="87"/>
      <c r="C49" s="87"/>
      <c r="D49" s="87"/>
      <c r="E49" s="87"/>
      <c r="F49" s="87"/>
      <c r="G49" s="368"/>
      <c r="H49" s="87"/>
      <c r="I49" s="87"/>
      <c r="J49" s="87"/>
      <c r="K49" s="87"/>
      <c r="L49" s="401" t="s">
        <v>311</v>
      </c>
      <c r="M49" s="98"/>
      <c r="N49" s="402">
        <f>N48</f>
        <v>133.2045</v>
      </c>
      <c r="O49" s="399">
        <f>N49</f>
        <v>133.2045</v>
      </c>
      <c r="P49" s="403" t="s">
        <v>301</v>
      </c>
      <c r="Q49" s="403" t="s">
        <v>301</v>
      </c>
      <c r="R49" s="368"/>
      <c r="S49" s="332"/>
      <c r="T49" s="322"/>
      <c r="U49" s="322"/>
    </row>
    <row r="50" outlineLevel="1">
      <c r="A50" s="87"/>
      <c r="B50" s="87"/>
      <c r="C50" s="87"/>
      <c r="D50" s="87"/>
      <c r="E50" s="87"/>
      <c r="F50" s="87"/>
      <c r="G50" s="368"/>
      <c r="H50" s="87"/>
      <c r="I50" s="87"/>
      <c r="J50" s="87"/>
      <c r="K50" s="87"/>
      <c r="L50" s="401"/>
      <c r="M50" s="98"/>
      <c r="N50" s="399"/>
      <c r="O50" s="399"/>
      <c r="P50" s="400"/>
      <c r="Q50" s="400"/>
      <c r="R50" s="368"/>
      <c r="S50" s="332"/>
      <c r="T50" s="322"/>
      <c r="U50" s="322"/>
    </row>
    <row r="51" outlineLevel="1">
      <c r="A51" s="87"/>
      <c r="B51" s="87"/>
      <c r="C51" s="87"/>
      <c r="D51" s="87"/>
      <c r="E51" s="87"/>
      <c r="F51" s="87"/>
      <c r="G51" s="368"/>
      <c r="H51" s="87"/>
      <c r="I51" s="87"/>
      <c r="J51" s="87"/>
      <c r="K51" s="87"/>
      <c r="L51" s="401"/>
      <c r="M51" s="98"/>
      <c r="N51" s="399"/>
      <c r="O51" s="399"/>
      <c r="P51" s="399"/>
      <c r="Q51" s="399"/>
      <c r="R51" s="368"/>
      <c r="S51" s="332"/>
      <c r="T51" s="322"/>
      <c r="U51" s="322"/>
    </row>
    <row r="52" outlineLevel="1">
      <c r="A52" s="337"/>
      <c r="B52" s="337"/>
      <c r="C52" s="337"/>
      <c r="D52" s="337"/>
      <c r="E52" s="337"/>
      <c r="F52" s="337"/>
      <c r="G52" s="392"/>
      <c r="H52" s="337"/>
      <c r="I52" s="337"/>
      <c r="J52" s="337"/>
      <c r="K52" s="337"/>
      <c r="L52" s="337"/>
      <c r="M52" s="393"/>
      <c r="N52" s="338"/>
      <c r="O52" s="340"/>
      <c r="P52" s="339"/>
      <c r="Q52" s="341"/>
      <c r="R52" s="368"/>
      <c r="S52" s="332"/>
      <c r="T52" s="322"/>
      <c r="U52" s="322"/>
    </row>
    <row r="53" outlineLevel="1">
      <c r="A53" s="350"/>
      <c r="B53" s="350"/>
      <c r="C53" s="350"/>
      <c r="D53" s="350"/>
      <c r="E53" s="350"/>
      <c r="F53" s="350"/>
      <c r="G53" s="394"/>
      <c r="H53" s="350"/>
      <c r="I53" s="350"/>
      <c r="J53" s="350"/>
      <c r="K53" s="350"/>
      <c r="L53" s="350"/>
      <c r="M53" s="351"/>
      <c r="N53" s="352"/>
      <c r="O53" s="352"/>
      <c r="P53" s="352"/>
      <c r="Q53" s="341"/>
      <c r="R53" s="368"/>
      <c r="S53" s="332"/>
      <c r="T53" s="322"/>
      <c r="U53" s="322"/>
    </row>
    <row r="54">
      <c r="A54" s="87"/>
      <c r="B54" s="87"/>
      <c r="C54" s="87"/>
      <c r="D54" s="87"/>
      <c r="E54" s="87"/>
      <c r="F54" s="87"/>
      <c r="G54" s="368"/>
      <c r="H54" s="87"/>
      <c r="I54" s="87"/>
      <c r="J54" s="87"/>
      <c r="K54" s="87"/>
      <c r="L54" s="87"/>
      <c r="M54" s="393"/>
      <c r="N54" s="338"/>
      <c r="O54" s="345"/>
      <c r="P54" s="338"/>
      <c r="Q54" s="341"/>
      <c r="R54" s="368"/>
      <c r="S54" s="332"/>
      <c r="T54" s="322"/>
      <c r="U54" s="322"/>
    </row>
    <row r="55">
      <c r="A55" s="87"/>
      <c r="B55" s="87"/>
      <c r="C55" s="87"/>
      <c r="D55" s="87"/>
      <c r="E55" s="87"/>
      <c r="F55" s="87"/>
      <c r="G55" s="368"/>
      <c r="H55" s="87"/>
      <c r="I55" s="87"/>
      <c r="J55" s="87"/>
      <c r="K55" s="87"/>
      <c r="L55" s="87"/>
      <c r="M55" s="393"/>
      <c r="N55" s="345"/>
      <c r="O55" s="338"/>
      <c r="P55" s="338"/>
      <c r="Q55" s="341"/>
      <c r="R55" s="368"/>
      <c r="S55" s="332"/>
      <c r="T55" s="322"/>
      <c r="U55" s="322"/>
    </row>
    <row r="56">
      <c r="A56" s="87"/>
      <c r="B56" s="87"/>
      <c r="C56" s="87"/>
      <c r="D56" s="87"/>
      <c r="E56" s="87"/>
      <c r="F56" s="87"/>
      <c r="G56" s="368"/>
      <c r="H56" s="87"/>
      <c r="I56" s="87"/>
      <c r="J56" s="87"/>
      <c r="K56" s="87"/>
      <c r="L56" s="87"/>
      <c r="M56" s="255"/>
      <c r="N56" s="338"/>
      <c r="O56" s="338"/>
      <c r="P56" s="345"/>
      <c r="Q56" s="341"/>
      <c r="R56" s="368"/>
      <c r="S56" s="332"/>
      <c r="T56" s="322"/>
      <c r="U56" s="322"/>
    </row>
    <row r="57">
      <c r="A57" s="87"/>
      <c r="B57" s="87"/>
      <c r="C57" s="87"/>
      <c r="D57" s="87"/>
      <c r="E57" s="87"/>
      <c r="F57" s="87"/>
      <c r="G57" s="368"/>
      <c r="H57" s="87"/>
      <c r="I57" s="87"/>
      <c r="J57" s="87"/>
      <c r="K57" s="87"/>
      <c r="L57" s="87"/>
      <c r="M57" s="87"/>
      <c r="N57" s="87"/>
      <c r="O57" s="255"/>
      <c r="P57" s="387"/>
      <c r="Q57" s="388"/>
      <c r="R57" s="389"/>
      <c r="S57" s="332"/>
      <c r="T57" s="322"/>
      <c r="U57" s="322"/>
    </row>
    <row r="58">
      <c r="A58" s="87"/>
      <c r="B58" s="87"/>
      <c r="C58" s="87"/>
      <c r="D58" s="87"/>
      <c r="E58" s="87"/>
      <c r="F58" s="87"/>
      <c r="G58" s="368"/>
      <c r="H58" s="87"/>
      <c r="I58" s="87"/>
      <c r="J58" s="87"/>
      <c r="K58" s="87"/>
      <c r="L58" s="87"/>
      <c r="M58" s="87"/>
      <c r="N58" s="87"/>
      <c r="O58" s="358"/>
      <c r="Q58" s="388"/>
      <c r="R58" s="439"/>
      <c r="S58" s="332"/>
      <c r="T58" s="322"/>
      <c r="U58" s="322"/>
    </row>
    <row r="59">
      <c r="A59" s="87"/>
      <c r="B59" s="87"/>
      <c r="C59" s="87"/>
      <c r="D59" s="87"/>
      <c r="E59" s="87"/>
      <c r="F59" s="87"/>
      <c r="G59" s="368"/>
      <c r="H59" s="87"/>
      <c r="I59" s="87"/>
      <c r="J59" s="87"/>
      <c r="K59" s="87"/>
      <c r="L59" s="87"/>
      <c r="M59" s="87"/>
      <c r="N59" s="87"/>
      <c r="O59" s="368"/>
      <c r="P59" s="368"/>
      <c r="Q59" s="368"/>
      <c r="R59" s="368"/>
      <c r="S59" s="332"/>
      <c r="T59" s="322"/>
      <c r="U59" s="322"/>
    </row>
    <row r="60">
      <c r="A60" s="337"/>
      <c r="B60" s="337"/>
      <c r="C60" s="337"/>
      <c r="D60" s="337"/>
      <c r="E60" s="337"/>
      <c r="F60" s="337"/>
      <c r="G60" s="392"/>
      <c r="H60" s="337"/>
      <c r="I60" s="337"/>
      <c r="J60" s="337"/>
      <c r="K60" s="337"/>
      <c r="L60" s="337"/>
      <c r="M60" s="87"/>
      <c r="N60" s="87"/>
      <c r="O60" s="368"/>
      <c r="P60" s="368"/>
      <c r="Q60" s="368"/>
      <c r="R60" s="368"/>
      <c r="S60" s="332"/>
      <c r="T60" s="322"/>
      <c r="U60" s="322"/>
    </row>
    <row r="61">
      <c r="A61" s="87"/>
      <c r="B61" s="87"/>
      <c r="C61" s="87"/>
      <c r="D61" s="87"/>
      <c r="E61" s="87"/>
      <c r="F61" s="87"/>
      <c r="G61" s="368"/>
      <c r="H61" s="87"/>
      <c r="I61" s="87"/>
      <c r="J61" s="87"/>
      <c r="K61" s="87"/>
      <c r="L61" s="87"/>
      <c r="M61" s="87"/>
      <c r="N61" s="87"/>
      <c r="O61" s="368"/>
      <c r="P61" s="368"/>
      <c r="Q61" s="368"/>
      <c r="R61" s="368"/>
      <c r="S61" s="332"/>
      <c r="T61" s="322"/>
      <c r="U61" s="322"/>
    </row>
    <row r="62">
      <c r="A62" s="87"/>
      <c r="B62" s="87"/>
      <c r="C62" s="87"/>
      <c r="D62" s="87"/>
      <c r="E62" s="87"/>
      <c r="F62" s="87"/>
      <c r="G62" s="368"/>
      <c r="H62" s="87"/>
      <c r="I62" s="87"/>
      <c r="J62" s="87"/>
      <c r="K62" s="87"/>
      <c r="L62" s="87"/>
      <c r="M62" s="337"/>
      <c r="N62" s="87"/>
      <c r="O62" s="368"/>
      <c r="P62" s="368"/>
      <c r="Q62" s="368"/>
      <c r="R62" s="368"/>
      <c r="S62" s="332"/>
      <c r="T62" s="322"/>
      <c r="U62" s="322"/>
    </row>
    <row r="63">
      <c r="A63" s="87"/>
      <c r="B63" s="87"/>
      <c r="C63" s="87"/>
      <c r="D63" s="87"/>
      <c r="E63" s="87"/>
      <c r="F63" s="87"/>
      <c r="G63" s="368"/>
      <c r="H63" s="87"/>
      <c r="I63" s="87"/>
      <c r="J63" s="87"/>
      <c r="K63" s="87"/>
      <c r="L63" s="87"/>
      <c r="M63" s="87"/>
      <c r="N63" s="87"/>
      <c r="O63" s="368"/>
      <c r="P63" s="368"/>
      <c r="Q63" s="368"/>
      <c r="R63" s="368"/>
      <c r="S63" s="368"/>
      <c r="T63" s="333"/>
      <c r="U63" s="333"/>
    </row>
    <row r="64">
      <c r="A64" s="87"/>
      <c r="B64" s="87"/>
      <c r="C64" s="87"/>
      <c r="D64" s="87"/>
      <c r="E64" s="87"/>
      <c r="F64" s="87"/>
      <c r="G64" s="368"/>
      <c r="H64" s="87"/>
      <c r="I64" s="87"/>
      <c r="J64" s="87"/>
      <c r="K64" s="87"/>
      <c r="L64" s="87"/>
      <c r="M64" s="87"/>
      <c r="N64" s="87"/>
      <c r="O64" s="368"/>
      <c r="P64" s="368"/>
      <c r="Q64" s="368"/>
      <c r="R64" s="368"/>
      <c r="S64" s="368"/>
      <c r="T64" s="333"/>
      <c r="U64" s="333"/>
    </row>
    <row r="65">
      <c r="A65" s="87"/>
      <c r="B65" s="87"/>
      <c r="C65" s="87"/>
      <c r="D65" s="87"/>
      <c r="E65" s="87"/>
      <c r="F65" s="87"/>
      <c r="G65" s="368"/>
      <c r="H65" s="87"/>
      <c r="I65" s="87"/>
      <c r="J65" s="87"/>
      <c r="K65" s="87"/>
      <c r="L65" s="87"/>
      <c r="M65" s="87"/>
      <c r="N65" s="87"/>
      <c r="O65" s="368"/>
      <c r="P65" s="368"/>
      <c r="Q65" s="368"/>
      <c r="R65" s="368"/>
      <c r="S65" s="368"/>
      <c r="T65" s="333"/>
      <c r="U65" s="333"/>
    </row>
    <row r="66">
      <c r="A66" s="87"/>
      <c r="B66" s="87"/>
      <c r="C66" s="87"/>
      <c r="D66" s="87"/>
      <c r="E66" s="87"/>
      <c r="F66" s="87"/>
      <c r="G66" s="368"/>
      <c r="H66" s="87"/>
      <c r="I66" s="87"/>
      <c r="J66" s="87"/>
      <c r="K66" s="87"/>
      <c r="L66" s="87"/>
      <c r="M66" s="87"/>
      <c r="N66" s="87"/>
      <c r="O66" s="368"/>
      <c r="P66" s="332"/>
      <c r="Q66" s="332"/>
      <c r="R66" s="368"/>
      <c r="S66" s="332"/>
      <c r="T66" s="322"/>
      <c r="U66" s="322"/>
    </row>
    <row r="67">
      <c r="A67" s="87"/>
      <c r="B67" s="87"/>
      <c r="C67" s="87"/>
      <c r="D67" s="87"/>
      <c r="E67" s="87"/>
      <c r="F67" s="87"/>
      <c r="G67" s="368"/>
      <c r="H67" s="87"/>
      <c r="I67" s="87"/>
      <c r="J67" s="87"/>
      <c r="K67" s="87"/>
      <c r="L67" s="87"/>
      <c r="M67" s="87"/>
      <c r="N67" s="87"/>
      <c r="O67" s="368"/>
      <c r="P67" s="368"/>
      <c r="Q67" s="368"/>
      <c r="R67" s="368"/>
      <c r="S67" s="339"/>
      <c r="T67" s="322"/>
      <c r="U67" s="322"/>
    </row>
    <row r="68">
      <c r="A68" s="87"/>
      <c r="B68" s="87"/>
      <c r="C68" s="87"/>
      <c r="D68" s="87"/>
      <c r="E68" s="87"/>
      <c r="F68" s="87"/>
      <c r="G68" s="368"/>
      <c r="H68" s="87"/>
      <c r="I68" s="87"/>
      <c r="J68" s="87"/>
      <c r="K68" s="87"/>
      <c r="L68" s="87"/>
      <c r="M68" s="87"/>
      <c r="N68" s="87"/>
      <c r="O68" s="368"/>
      <c r="P68" s="368"/>
      <c r="Q68" s="368"/>
      <c r="R68" s="368"/>
      <c r="S68" s="332"/>
      <c r="T68" s="322"/>
      <c r="U68" s="322"/>
    </row>
    <row r="69">
      <c r="A69" s="87"/>
      <c r="B69" s="87"/>
      <c r="C69" s="87"/>
      <c r="D69" s="87"/>
      <c r="E69" s="87"/>
      <c r="F69" s="87"/>
      <c r="G69" s="368"/>
      <c r="H69" s="87"/>
      <c r="I69" s="87"/>
      <c r="J69" s="87"/>
      <c r="K69" s="87"/>
      <c r="L69" s="87"/>
      <c r="M69" s="87"/>
      <c r="N69" s="87"/>
      <c r="O69" s="368"/>
      <c r="P69" s="368"/>
      <c r="Q69" s="368"/>
      <c r="R69" s="368"/>
      <c r="S69" s="332"/>
      <c r="T69" s="322"/>
      <c r="U69" s="322"/>
    </row>
    <row r="70">
      <c r="A70" s="87"/>
      <c r="B70" s="87"/>
      <c r="C70" s="87"/>
      <c r="D70" s="87"/>
      <c r="E70" s="87"/>
      <c r="F70" s="87"/>
      <c r="G70" s="368"/>
      <c r="H70" s="87"/>
      <c r="I70" s="87"/>
      <c r="J70" s="87"/>
      <c r="K70" s="87"/>
      <c r="L70" s="87"/>
      <c r="M70" s="87"/>
      <c r="N70" s="87"/>
      <c r="O70" s="368"/>
      <c r="P70" s="368"/>
      <c r="Q70" s="368"/>
      <c r="R70" s="368"/>
      <c r="S70" s="332"/>
      <c r="T70" s="322"/>
      <c r="U70" s="322"/>
    </row>
    <row r="71">
      <c r="A71" s="87"/>
      <c r="B71" s="87"/>
      <c r="C71" s="87"/>
      <c r="D71" s="87"/>
      <c r="E71" s="87"/>
      <c r="F71" s="87"/>
      <c r="G71" s="368"/>
      <c r="H71" s="87"/>
      <c r="I71" s="87"/>
      <c r="J71" s="87"/>
      <c r="K71" s="87"/>
      <c r="L71" s="87"/>
      <c r="M71" s="87"/>
      <c r="N71" s="87"/>
      <c r="O71" s="368"/>
      <c r="P71" s="368"/>
      <c r="Q71" s="368"/>
      <c r="R71" s="368"/>
      <c r="S71" s="332"/>
      <c r="T71" s="322"/>
      <c r="U71" s="322"/>
    </row>
    <row r="72">
      <c r="A72" s="87"/>
      <c r="B72" s="87"/>
      <c r="C72" s="87"/>
      <c r="D72" s="87"/>
      <c r="E72" s="87"/>
      <c r="F72" s="87"/>
      <c r="G72" s="368"/>
      <c r="H72" s="87"/>
      <c r="I72" s="87"/>
      <c r="J72" s="87"/>
      <c r="K72" s="87"/>
      <c r="L72" s="87"/>
      <c r="M72" s="87"/>
      <c r="N72" s="87"/>
      <c r="O72" s="368"/>
      <c r="P72" s="368"/>
      <c r="Q72" s="368"/>
      <c r="R72" s="368"/>
      <c r="S72" s="332"/>
      <c r="T72" s="322"/>
      <c r="U72" s="322"/>
    </row>
    <row r="73">
      <c r="A73" s="87"/>
      <c r="B73" s="87"/>
      <c r="C73" s="87"/>
      <c r="D73" s="87"/>
      <c r="E73" s="87"/>
      <c r="F73" s="87"/>
      <c r="G73" s="368"/>
      <c r="H73" s="87"/>
      <c r="I73" s="87"/>
      <c r="J73" s="87"/>
      <c r="K73" s="87"/>
      <c r="L73" s="87"/>
      <c r="M73" s="87"/>
      <c r="N73" s="87"/>
      <c r="O73" s="368"/>
      <c r="P73" s="368"/>
      <c r="Q73" s="368"/>
      <c r="R73" s="368"/>
      <c r="S73" s="332"/>
      <c r="T73" s="322"/>
      <c r="U73" s="322"/>
    </row>
    <row r="74">
      <c r="A74" s="87"/>
      <c r="B74" s="87"/>
      <c r="C74" s="87"/>
      <c r="D74" s="87"/>
      <c r="E74" s="87"/>
      <c r="F74" s="87"/>
      <c r="G74" s="368"/>
      <c r="H74" s="87"/>
      <c r="I74" s="87"/>
      <c r="J74" s="87"/>
      <c r="K74" s="87"/>
      <c r="L74" s="87"/>
      <c r="M74" s="87"/>
      <c r="N74" s="87"/>
      <c r="O74" s="368"/>
      <c r="P74" s="368"/>
      <c r="Q74" s="368"/>
      <c r="R74" s="368"/>
      <c r="S74" s="368"/>
      <c r="T74" s="333"/>
      <c r="U74" s="404"/>
    </row>
    <row r="75">
      <c r="A75" s="405"/>
      <c r="B75" s="405"/>
      <c r="C75" s="405"/>
      <c r="D75" s="405"/>
      <c r="E75" s="405"/>
      <c r="F75" s="405"/>
      <c r="G75" s="406"/>
      <c r="H75" s="405"/>
      <c r="I75" s="405"/>
      <c r="J75" s="405"/>
      <c r="K75" s="405"/>
      <c r="L75" s="407"/>
      <c r="M75" s="87"/>
      <c r="N75" s="87"/>
      <c r="O75" s="408"/>
      <c r="P75" s="368"/>
      <c r="Q75" s="368"/>
      <c r="R75" s="368"/>
      <c r="S75" s="368"/>
      <c r="T75" s="333"/>
      <c r="U75" s="333"/>
    </row>
    <row r="76">
      <c r="A76" s="87"/>
      <c r="B76" s="87"/>
      <c r="C76" s="87"/>
      <c r="D76" s="87"/>
      <c r="E76" s="87"/>
      <c r="F76" s="87"/>
      <c r="G76" s="368"/>
      <c r="H76" s="87"/>
      <c r="I76" s="87"/>
      <c r="J76" s="87"/>
      <c r="K76" s="87"/>
      <c r="L76" s="87"/>
      <c r="M76" s="87"/>
      <c r="N76" s="87"/>
      <c r="O76" s="368"/>
      <c r="P76" s="368"/>
      <c r="Q76" s="368"/>
      <c r="R76" s="368"/>
      <c r="S76" s="409"/>
      <c r="T76" s="404"/>
      <c r="U76" s="404"/>
    </row>
    <row r="77">
      <c r="A77" s="87"/>
      <c r="B77" s="87"/>
      <c r="C77" s="87"/>
      <c r="D77" s="87"/>
      <c r="E77" s="87"/>
      <c r="F77" s="87"/>
      <c r="G77" s="368"/>
      <c r="H77" s="87"/>
      <c r="I77" s="87"/>
      <c r="J77" s="87"/>
      <c r="K77" s="87"/>
      <c r="L77" s="87"/>
      <c r="M77" s="407"/>
      <c r="N77" s="410"/>
      <c r="O77" s="368"/>
      <c r="P77" s="368"/>
      <c r="Q77" s="368"/>
      <c r="R77" s="368"/>
      <c r="S77" s="409"/>
      <c r="T77" s="404"/>
      <c r="U77" s="404"/>
    </row>
    <row r="78">
      <c r="A78" s="87"/>
      <c r="B78" s="87"/>
      <c r="C78" s="87"/>
      <c r="D78" s="87"/>
      <c r="E78" s="87"/>
      <c r="F78" s="87"/>
      <c r="G78" s="368"/>
      <c r="H78" s="87"/>
      <c r="I78" s="87"/>
      <c r="J78" s="87"/>
      <c r="K78" s="87"/>
      <c r="L78" s="87"/>
      <c r="M78" s="407"/>
      <c r="N78" s="87"/>
      <c r="O78" s="368"/>
      <c r="P78" s="368"/>
      <c r="Q78" s="368"/>
      <c r="R78" s="368"/>
      <c r="S78" s="409"/>
      <c r="T78" s="404"/>
      <c r="U78" s="404"/>
    </row>
    <row r="79">
      <c r="A79" s="87"/>
      <c r="B79" s="87"/>
      <c r="C79" s="87"/>
      <c r="D79" s="87"/>
      <c r="E79" s="87"/>
      <c r="F79" s="87"/>
      <c r="G79" s="368"/>
      <c r="H79" s="87"/>
      <c r="I79" s="87"/>
      <c r="J79" s="87"/>
      <c r="K79" s="87"/>
      <c r="L79" s="87"/>
      <c r="M79" s="87"/>
      <c r="N79" s="87"/>
      <c r="O79" s="368"/>
      <c r="P79" s="368"/>
      <c r="Q79" s="368"/>
      <c r="R79" s="368"/>
      <c r="S79" s="332"/>
      <c r="T79" s="404"/>
      <c r="U79" s="404"/>
    </row>
    <row r="80">
      <c r="A80" s="405"/>
      <c r="B80" s="405"/>
      <c r="C80" s="405"/>
      <c r="D80" s="405"/>
      <c r="E80" s="405"/>
      <c r="F80" s="405"/>
      <c r="G80" s="406"/>
      <c r="H80" s="405"/>
      <c r="I80" s="405"/>
      <c r="J80" s="405"/>
      <c r="K80" s="405"/>
      <c r="L80" s="407"/>
      <c r="M80" s="87"/>
      <c r="N80" s="87"/>
      <c r="O80" s="368"/>
      <c r="P80" s="368"/>
      <c r="Q80" s="368"/>
      <c r="R80" s="368"/>
      <c r="S80" s="368"/>
      <c r="T80" s="333"/>
      <c r="U80" s="333"/>
    </row>
    <row r="81">
      <c r="A81" s="87"/>
      <c r="B81" s="87"/>
      <c r="C81" s="87"/>
      <c r="D81" s="87"/>
      <c r="E81" s="87"/>
      <c r="F81" s="87"/>
      <c r="G81" s="368"/>
      <c r="H81" s="87"/>
      <c r="I81" s="87"/>
      <c r="J81" s="87"/>
      <c r="K81" s="87"/>
      <c r="L81" s="87"/>
      <c r="M81" s="407"/>
      <c r="N81" s="87"/>
      <c r="O81" s="368"/>
      <c r="P81" s="368"/>
      <c r="Q81" s="368"/>
      <c r="R81" s="368"/>
      <c r="S81" s="332"/>
      <c r="T81" s="404"/>
      <c r="U81" s="404"/>
    </row>
    <row r="82">
      <c r="A82" s="87"/>
      <c r="B82" s="87"/>
      <c r="C82" s="87"/>
      <c r="D82" s="87"/>
      <c r="E82" s="87"/>
      <c r="F82" s="87"/>
      <c r="G82" s="368"/>
      <c r="H82" s="87"/>
      <c r="I82" s="87"/>
      <c r="J82" s="87"/>
      <c r="K82" s="87"/>
      <c r="L82" s="87"/>
      <c r="M82" s="87"/>
      <c r="N82" s="87"/>
      <c r="O82" s="368"/>
      <c r="P82" s="368"/>
      <c r="Q82" s="368"/>
      <c r="R82" s="368"/>
      <c r="S82" s="368"/>
      <c r="T82" s="333"/>
      <c r="U82" s="333"/>
    </row>
    <row r="83">
      <c r="A83" s="87"/>
      <c r="B83" s="87"/>
      <c r="C83" s="87"/>
      <c r="D83" s="87"/>
      <c r="E83" s="87"/>
      <c r="F83" s="87"/>
      <c r="G83" s="368"/>
      <c r="H83" s="87"/>
      <c r="I83" s="87"/>
      <c r="J83" s="87"/>
      <c r="K83" s="87"/>
      <c r="L83" s="87"/>
      <c r="M83" s="407"/>
      <c r="N83" s="87"/>
      <c r="O83" s="368"/>
      <c r="P83" s="368"/>
      <c r="Q83" s="368"/>
      <c r="R83" s="368"/>
      <c r="S83" s="368"/>
      <c r="T83" s="333"/>
      <c r="U83" s="322"/>
    </row>
    <row r="84">
      <c r="A84" s="87"/>
      <c r="B84" s="87"/>
      <c r="C84" s="87"/>
      <c r="D84" s="87"/>
      <c r="E84" s="87"/>
      <c r="F84" s="87"/>
      <c r="G84" s="368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333"/>
      <c r="U84" s="333"/>
    </row>
    <row r="85">
      <c r="A85" s="87"/>
      <c r="B85" s="87"/>
      <c r="C85" s="87"/>
      <c r="D85" s="87"/>
      <c r="E85" s="87"/>
      <c r="F85" s="87"/>
      <c r="G85" s="368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411"/>
      <c r="T85" s="87"/>
      <c r="U85" s="412"/>
    </row>
    <row r="86">
      <c r="A86" s="87"/>
      <c r="B86" s="87"/>
      <c r="C86" s="87"/>
      <c r="D86" s="87"/>
      <c r="E86" s="87"/>
      <c r="F86" s="87"/>
      <c r="G86" s="368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411"/>
      <c r="T86" s="87"/>
      <c r="U86" s="412"/>
    </row>
    <row r="87">
      <c r="A87" s="87"/>
      <c r="B87" s="87"/>
      <c r="C87" s="87"/>
      <c r="D87" s="87"/>
      <c r="E87" s="87"/>
      <c r="F87" s="87"/>
      <c r="G87" s="368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411"/>
      <c r="T87" s="87"/>
      <c r="U87" s="412"/>
    </row>
    <row r="88">
      <c r="A88" s="87"/>
      <c r="B88" s="87"/>
      <c r="C88" s="87"/>
      <c r="D88" s="87"/>
      <c r="E88" s="87"/>
      <c r="F88" s="87"/>
      <c r="G88" s="368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411"/>
      <c r="T88" s="87"/>
      <c r="U88" s="412"/>
    </row>
    <row r="89">
      <c r="A89" s="87"/>
      <c r="B89" s="87"/>
      <c r="C89" s="87"/>
      <c r="D89" s="87"/>
      <c r="E89" s="87"/>
      <c r="F89" s="87"/>
      <c r="G89" s="368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411"/>
      <c r="T89" s="87"/>
      <c r="U89" s="412"/>
    </row>
    <row r="90">
      <c r="A90" s="87"/>
      <c r="B90" s="87"/>
      <c r="C90" s="87"/>
      <c r="D90" s="87"/>
      <c r="E90" s="87"/>
      <c r="F90" s="87"/>
      <c r="G90" s="368"/>
      <c r="H90" s="87"/>
      <c r="I90" s="87"/>
      <c r="J90" s="87"/>
      <c r="K90" s="87"/>
      <c r="L90" s="87"/>
      <c r="M90" s="350"/>
      <c r="N90" s="87"/>
      <c r="O90" s="87"/>
      <c r="P90" s="87"/>
      <c r="Q90" s="87"/>
      <c r="R90" s="87"/>
      <c r="S90" s="87"/>
      <c r="T90" s="87"/>
      <c r="U90" s="413"/>
    </row>
    <row r="91">
      <c r="A91" s="87"/>
      <c r="B91" s="87"/>
      <c r="C91" s="87"/>
      <c r="D91" s="87"/>
      <c r="E91" s="87"/>
      <c r="F91" s="87"/>
      <c r="G91" s="368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</row>
    <row r="92">
      <c r="A92" s="87"/>
      <c r="B92" s="87"/>
      <c r="C92" s="87"/>
      <c r="D92" s="87"/>
      <c r="E92" s="87"/>
      <c r="F92" s="87"/>
      <c r="G92" s="368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</row>
    <row r="93">
      <c r="G93" s="301"/>
    </row>
    <row r="94">
      <c r="G94" s="301"/>
    </row>
    <row r="95">
      <c r="G95" s="301"/>
    </row>
    <row r="96">
      <c r="G96" s="301"/>
    </row>
    <row r="97">
      <c r="G97" s="301"/>
    </row>
    <row r="98">
      <c r="G98" s="301"/>
    </row>
    <row r="99">
      <c r="G99" s="301"/>
    </row>
    <row r="100">
      <c r="G100" s="301"/>
    </row>
    <row r="101">
      <c r="G101" s="301"/>
    </row>
    <row r="102">
      <c r="G102" s="301"/>
    </row>
    <row r="103">
      <c r="G103" s="301"/>
    </row>
    <row r="104">
      <c r="G104" s="301"/>
    </row>
    <row r="105">
      <c r="G105" s="301"/>
    </row>
    <row r="106">
      <c r="G106" s="301"/>
    </row>
    <row r="107">
      <c r="G107" s="301"/>
    </row>
    <row r="108">
      <c r="G108" s="301"/>
    </row>
    <row r="109">
      <c r="G109" s="301"/>
    </row>
    <row r="110">
      <c r="G110" s="301"/>
    </row>
    <row r="111">
      <c r="G111" s="301"/>
    </row>
    <row r="112">
      <c r="G112" s="301"/>
    </row>
    <row r="113">
      <c r="G113" s="301"/>
    </row>
    <row r="114">
      <c r="G114" s="301"/>
    </row>
    <row r="115">
      <c r="G115" s="301"/>
    </row>
    <row r="116">
      <c r="G116" s="301"/>
    </row>
    <row r="117">
      <c r="G117" s="301"/>
    </row>
    <row r="118">
      <c r="G118" s="301"/>
    </row>
    <row r="119">
      <c r="G119" s="301"/>
    </row>
    <row r="120">
      <c r="G120" s="301"/>
    </row>
    <row r="121">
      <c r="G121" s="301"/>
    </row>
    <row r="122">
      <c r="G122" s="301"/>
    </row>
    <row r="123">
      <c r="G123" s="301"/>
    </row>
    <row r="124">
      <c r="G124" s="301"/>
    </row>
    <row r="125">
      <c r="G125" s="301"/>
    </row>
    <row r="126">
      <c r="G126" s="301"/>
    </row>
    <row r="127">
      <c r="G127" s="301"/>
    </row>
    <row r="128">
      <c r="G128" s="301"/>
    </row>
    <row r="129">
      <c r="G129" s="301"/>
    </row>
    <row r="130">
      <c r="G130" s="301"/>
    </row>
    <row r="131">
      <c r="G131" s="301"/>
    </row>
    <row r="132">
      <c r="G132" s="301"/>
    </row>
    <row r="133">
      <c r="G133" s="301"/>
    </row>
    <row r="134">
      <c r="G134" s="301"/>
    </row>
    <row r="135">
      <c r="G135" s="301"/>
    </row>
    <row r="136">
      <c r="G136" s="301"/>
    </row>
    <row r="137">
      <c r="G137" s="301"/>
    </row>
    <row r="138">
      <c r="G138" s="301"/>
    </row>
    <row r="139">
      <c r="G139" s="301"/>
    </row>
    <row r="140">
      <c r="G140" s="301"/>
    </row>
    <row r="141">
      <c r="G141" s="301"/>
    </row>
    <row r="142">
      <c r="G142" s="301"/>
    </row>
    <row r="143">
      <c r="G143" s="301"/>
    </row>
    <row r="144">
      <c r="G144" s="301"/>
    </row>
    <row r="145">
      <c r="G145" s="301"/>
    </row>
    <row r="146">
      <c r="G146" s="301"/>
    </row>
    <row r="147">
      <c r="G147" s="301"/>
    </row>
    <row r="148">
      <c r="G148" s="301"/>
    </row>
    <row r="149">
      <c r="G149" s="301"/>
    </row>
    <row r="150">
      <c r="G150" s="301"/>
    </row>
    <row r="151">
      <c r="G151" s="301"/>
    </row>
    <row r="152">
      <c r="G152" s="301"/>
    </row>
    <row r="153">
      <c r="G153" s="301"/>
    </row>
    <row r="154">
      <c r="G154" s="301"/>
    </row>
    <row r="155">
      <c r="G155" s="301"/>
    </row>
    <row r="156">
      <c r="G156" s="301"/>
    </row>
    <row r="157">
      <c r="G157" s="301"/>
    </row>
    <row r="158">
      <c r="G158" s="301"/>
    </row>
    <row r="159">
      <c r="G159" s="301"/>
    </row>
    <row r="160">
      <c r="G160" s="301"/>
    </row>
    <row r="161">
      <c r="G161" s="301"/>
    </row>
    <row r="162">
      <c r="G162" s="301"/>
    </row>
    <row r="163">
      <c r="G163" s="301"/>
    </row>
    <row r="164">
      <c r="G164" s="301"/>
    </row>
    <row r="165">
      <c r="G165" s="301"/>
    </row>
    <row r="166">
      <c r="G166" s="301"/>
    </row>
    <row r="167">
      <c r="G167" s="301"/>
    </row>
    <row r="168">
      <c r="G168" s="301"/>
    </row>
    <row r="169">
      <c r="G169" s="301"/>
    </row>
    <row r="170">
      <c r="G170" s="301"/>
    </row>
    <row r="171">
      <c r="G171" s="301"/>
    </row>
    <row r="172">
      <c r="G172" s="301"/>
    </row>
    <row r="173">
      <c r="G173" s="301"/>
    </row>
    <row r="174">
      <c r="G174" s="301"/>
    </row>
    <row r="175">
      <c r="G175" s="301"/>
    </row>
    <row r="176">
      <c r="G176" s="301"/>
    </row>
    <row r="177">
      <c r="G177" s="301"/>
    </row>
    <row r="178">
      <c r="G178" s="301"/>
    </row>
    <row r="179">
      <c r="G179" s="301"/>
    </row>
    <row r="180">
      <c r="G180" s="301"/>
    </row>
    <row r="181">
      <c r="G181" s="301"/>
    </row>
    <row r="182">
      <c r="G182" s="301"/>
    </row>
    <row r="183">
      <c r="G183" s="301"/>
    </row>
    <row r="184">
      <c r="G184" s="301"/>
    </row>
    <row r="185">
      <c r="G185" s="301"/>
    </row>
    <row r="186">
      <c r="G186" s="301"/>
    </row>
    <row r="187">
      <c r="G187" s="301"/>
    </row>
    <row r="188">
      <c r="G188" s="301"/>
    </row>
    <row r="189">
      <c r="G189" s="301"/>
    </row>
    <row r="190">
      <c r="G190" s="301"/>
    </row>
    <row r="191">
      <c r="G191" s="301"/>
    </row>
    <row r="192">
      <c r="G192" s="301"/>
    </row>
    <row r="193">
      <c r="G193" s="301"/>
    </row>
    <row r="194">
      <c r="G194" s="301"/>
    </row>
    <row r="195">
      <c r="G195" s="301"/>
    </row>
    <row r="196">
      <c r="G196" s="301"/>
    </row>
    <row r="197">
      <c r="G197" s="301"/>
    </row>
    <row r="198">
      <c r="G198" s="301"/>
    </row>
    <row r="199">
      <c r="G199" s="301"/>
    </row>
    <row r="200">
      <c r="G200" s="301"/>
    </row>
    <row r="201">
      <c r="G201" s="301"/>
    </row>
    <row r="202">
      <c r="G202" s="301"/>
    </row>
    <row r="203">
      <c r="G203" s="301"/>
    </row>
    <row r="204">
      <c r="G204" s="301"/>
    </row>
    <row r="205">
      <c r="G205" s="301"/>
    </row>
    <row r="206">
      <c r="G206" s="301"/>
    </row>
    <row r="207">
      <c r="G207" s="301"/>
    </row>
    <row r="208">
      <c r="G208" s="301"/>
    </row>
    <row r="209">
      <c r="G209" s="301"/>
    </row>
    <row r="210">
      <c r="G210" s="301"/>
    </row>
    <row r="211">
      <c r="G211" s="301"/>
    </row>
    <row r="212">
      <c r="G212" s="301"/>
    </row>
    <row r="213">
      <c r="G213" s="301"/>
    </row>
    <row r="214">
      <c r="G214" s="301"/>
    </row>
    <row r="215">
      <c r="G215" s="301"/>
    </row>
    <row r="216">
      <c r="G216" s="301"/>
    </row>
    <row r="217">
      <c r="G217" s="301"/>
    </row>
    <row r="218">
      <c r="G218" s="301"/>
    </row>
    <row r="219">
      <c r="G219" s="301"/>
    </row>
    <row r="220">
      <c r="G220" s="301"/>
    </row>
    <row r="221">
      <c r="G221" s="301"/>
    </row>
    <row r="222">
      <c r="G222" s="301"/>
    </row>
    <row r="223">
      <c r="G223" s="301"/>
    </row>
    <row r="224">
      <c r="G224" s="301"/>
    </row>
    <row r="225">
      <c r="G225" s="301"/>
    </row>
    <row r="226">
      <c r="G226" s="301"/>
    </row>
    <row r="227">
      <c r="G227" s="301"/>
    </row>
    <row r="228">
      <c r="G228" s="301"/>
    </row>
    <row r="229">
      <c r="G229" s="301"/>
    </row>
    <row r="230">
      <c r="G230" s="301"/>
    </row>
    <row r="231">
      <c r="G231" s="301"/>
    </row>
    <row r="232">
      <c r="G232" s="301"/>
    </row>
    <row r="233">
      <c r="G233" s="301"/>
    </row>
    <row r="234">
      <c r="G234" s="301"/>
    </row>
    <row r="235">
      <c r="G235" s="301"/>
    </row>
    <row r="236">
      <c r="G236" s="301"/>
    </row>
    <row r="237">
      <c r="G237" s="301"/>
    </row>
    <row r="238">
      <c r="G238" s="301"/>
    </row>
    <row r="239">
      <c r="G239" s="301"/>
    </row>
    <row r="240">
      <c r="G240" s="301"/>
    </row>
    <row r="241">
      <c r="G241" s="301"/>
    </row>
    <row r="242">
      <c r="G242" s="301"/>
    </row>
    <row r="243">
      <c r="G243" s="301"/>
    </row>
    <row r="244">
      <c r="G244" s="301"/>
    </row>
    <row r="245">
      <c r="G245" s="301"/>
    </row>
    <row r="246">
      <c r="G246" s="301"/>
    </row>
    <row r="247">
      <c r="G247" s="301"/>
    </row>
    <row r="248">
      <c r="G248" s="301"/>
    </row>
    <row r="249">
      <c r="G249" s="301"/>
    </row>
    <row r="250">
      <c r="G250" s="301"/>
    </row>
    <row r="251">
      <c r="G251" s="301"/>
    </row>
    <row r="252">
      <c r="G252" s="301"/>
    </row>
    <row r="253">
      <c r="G253" s="301"/>
    </row>
    <row r="254">
      <c r="G254" s="301"/>
    </row>
    <row r="255">
      <c r="G255" s="301"/>
    </row>
    <row r="256">
      <c r="G256" s="301"/>
    </row>
    <row r="257">
      <c r="G257" s="301"/>
    </row>
    <row r="258">
      <c r="G258" s="301"/>
    </row>
    <row r="259">
      <c r="G259" s="301"/>
    </row>
    <row r="260">
      <c r="G260" s="301"/>
    </row>
    <row r="261">
      <c r="G261" s="301"/>
    </row>
    <row r="262">
      <c r="G262" s="301"/>
    </row>
    <row r="263">
      <c r="G263" s="301"/>
    </row>
    <row r="264">
      <c r="G264" s="301"/>
    </row>
    <row r="265">
      <c r="G265" s="301"/>
    </row>
    <row r="266">
      <c r="G266" s="301"/>
    </row>
    <row r="267">
      <c r="G267" s="301"/>
    </row>
    <row r="268">
      <c r="G268" s="301"/>
    </row>
    <row r="269">
      <c r="G269" s="301"/>
    </row>
    <row r="270">
      <c r="G270" s="301"/>
    </row>
    <row r="271">
      <c r="G271" s="301"/>
    </row>
    <row r="272">
      <c r="G272" s="301"/>
    </row>
    <row r="273">
      <c r="G273" s="301"/>
    </row>
    <row r="274">
      <c r="G274" s="301"/>
    </row>
    <row r="275">
      <c r="G275" s="301"/>
    </row>
    <row r="276">
      <c r="G276" s="301"/>
    </row>
    <row r="277">
      <c r="G277" s="301"/>
    </row>
    <row r="278">
      <c r="G278" s="301"/>
    </row>
    <row r="279">
      <c r="G279" s="301"/>
    </row>
    <row r="280">
      <c r="G280" s="301"/>
    </row>
    <row r="281">
      <c r="G281" s="301"/>
    </row>
    <row r="282">
      <c r="G282" s="301"/>
    </row>
    <row r="283">
      <c r="G283" s="301"/>
    </row>
    <row r="284">
      <c r="G284" s="301"/>
    </row>
    <row r="285">
      <c r="G285" s="301"/>
    </row>
    <row r="286">
      <c r="G286" s="301"/>
    </row>
    <row r="287">
      <c r="G287" s="301"/>
    </row>
    <row r="288">
      <c r="G288" s="301"/>
    </row>
    <row r="289">
      <c r="G289" s="301"/>
    </row>
    <row r="290">
      <c r="G290" s="301"/>
    </row>
    <row r="291">
      <c r="G291" s="301"/>
    </row>
    <row r="292">
      <c r="G292" s="301"/>
    </row>
    <row r="293">
      <c r="G293" s="301"/>
    </row>
    <row r="294">
      <c r="G294" s="301"/>
    </row>
    <row r="295">
      <c r="G295" s="301"/>
    </row>
    <row r="296">
      <c r="G296" s="301"/>
    </row>
    <row r="297">
      <c r="G297" s="301"/>
    </row>
    <row r="298">
      <c r="G298" s="301"/>
    </row>
    <row r="299">
      <c r="G299" s="301"/>
    </row>
    <row r="300">
      <c r="G300" s="301"/>
    </row>
    <row r="301">
      <c r="G301" s="301"/>
    </row>
    <row r="302">
      <c r="G302" s="301"/>
    </row>
    <row r="303">
      <c r="G303" s="301"/>
    </row>
    <row r="304">
      <c r="G304" s="301"/>
    </row>
    <row r="305">
      <c r="G305" s="301"/>
    </row>
    <row r="306">
      <c r="G306" s="301"/>
    </row>
    <row r="307">
      <c r="G307" s="301"/>
    </row>
    <row r="308">
      <c r="G308" s="301"/>
    </row>
    <row r="309">
      <c r="G309" s="301"/>
    </row>
    <row r="310">
      <c r="G310" s="301"/>
    </row>
    <row r="311">
      <c r="G311" s="301"/>
    </row>
    <row r="312">
      <c r="G312" s="301"/>
    </row>
    <row r="313">
      <c r="G313" s="301"/>
    </row>
    <row r="314">
      <c r="G314" s="301"/>
    </row>
    <row r="315">
      <c r="G315" s="301"/>
    </row>
    <row r="316">
      <c r="G316" s="301"/>
    </row>
    <row r="317">
      <c r="G317" s="301"/>
    </row>
    <row r="318">
      <c r="G318" s="301"/>
    </row>
    <row r="319">
      <c r="G319" s="301"/>
    </row>
    <row r="320">
      <c r="G320" s="301"/>
    </row>
    <row r="321">
      <c r="G321" s="301"/>
    </row>
    <row r="322">
      <c r="G322" s="301"/>
    </row>
    <row r="323">
      <c r="G323" s="301"/>
    </row>
    <row r="324">
      <c r="G324" s="301"/>
    </row>
    <row r="325">
      <c r="G325" s="301"/>
    </row>
    <row r="326">
      <c r="G326" s="301"/>
    </row>
    <row r="327">
      <c r="G327" s="301"/>
    </row>
    <row r="328">
      <c r="G328" s="301"/>
    </row>
    <row r="329">
      <c r="G329" s="301"/>
    </row>
    <row r="330">
      <c r="G330" s="301"/>
    </row>
    <row r="331">
      <c r="G331" s="301"/>
    </row>
    <row r="332">
      <c r="G332" s="301"/>
    </row>
    <row r="333">
      <c r="G333" s="301"/>
    </row>
    <row r="334">
      <c r="G334" s="301"/>
    </row>
    <row r="335">
      <c r="G335" s="301"/>
    </row>
    <row r="336">
      <c r="G336" s="301"/>
    </row>
    <row r="337">
      <c r="G337" s="301"/>
    </row>
    <row r="338">
      <c r="G338" s="301"/>
    </row>
    <row r="339">
      <c r="G339" s="301"/>
    </row>
    <row r="340">
      <c r="G340" s="301"/>
    </row>
    <row r="341">
      <c r="G341" s="301"/>
    </row>
    <row r="342">
      <c r="G342" s="301"/>
    </row>
    <row r="343">
      <c r="G343" s="301"/>
    </row>
    <row r="344">
      <c r="G344" s="301"/>
    </row>
    <row r="345">
      <c r="G345" s="301"/>
    </row>
    <row r="346">
      <c r="G346" s="301"/>
    </row>
    <row r="347">
      <c r="G347" s="301"/>
    </row>
    <row r="348">
      <c r="G348" s="301"/>
    </row>
    <row r="349">
      <c r="G349" s="301"/>
    </row>
    <row r="350">
      <c r="G350" s="301"/>
    </row>
    <row r="351">
      <c r="G351" s="301"/>
    </row>
    <row r="352">
      <c r="G352" s="301"/>
    </row>
    <row r="353">
      <c r="G353" s="301"/>
    </row>
    <row r="354">
      <c r="G354" s="301"/>
    </row>
    <row r="355">
      <c r="G355" s="301"/>
    </row>
    <row r="356">
      <c r="G356" s="301"/>
    </row>
    <row r="357">
      <c r="G357" s="301"/>
    </row>
    <row r="358">
      <c r="G358" s="301"/>
    </row>
    <row r="359">
      <c r="G359" s="301"/>
    </row>
    <row r="360">
      <c r="G360" s="301"/>
    </row>
    <row r="361">
      <c r="G361" s="301"/>
    </row>
    <row r="362">
      <c r="G362" s="301"/>
    </row>
    <row r="363">
      <c r="G363" s="301"/>
    </row>
    <row r="364">
      <c r="G364" s="301"/>
    </row>
    <row r="365">
      <c r="G365" s="301"/>
    </row>
    <row r="366">
      <c r="G366" s="301"/>
    </row>
    <row r="367">
      <c r="G367" s="301"/>
    </row>
    <row r="368">
      <c r="G368" s="301"/>
    </row>
    <row r="369">
      <c r="G369" s="301"/>
    </row>
    <row r="370">
      <c r="G370" s="301"/>
    </row>
    <row r="371">
      <c r="G371" s="301"/>
    </row>
    <row r="372">
      <c r="G372" s="301"/>
    </row>
    <row r="373">
      <c r="G373" s="301"/>
    </row>
    <row r="374">
      <c r="G374" s="301"/>
    </row>
    <row r="375">
      <c r="G375" s="301"/>
    </row>
    <row r="376">
      <c r="G376" s="301"/>
    </row>
    <row r="377">
      <c r="G377" s="301"/>
    </row>
    <row r="378">
      <c r="G378" s="301"/>
    </row>
    <row r="379">
      <c r="G379" s="301"/>
    </row>
    <row r="380">
      <c r="G380" s="301"/>
    </row>
    <row r="381">
      <c r="G381" s="301"/>
    </row>
    <row r="382">
      <c r="G382" s="301"/>
    </row>
    <row r="383">
      <c r="G383" s="301"/>
    </row>
    <row r="384">
      <c r="G384" s="301"/>
    </row>
    <row r="385">
      <c r="G385" s="301"/>
    </row>
    <row r="386">
      <c r="G386" s="301"/>
    </row>
    <row r="387">
      <c r="G387" s="301"/>
    </row>
    <row r="388">
      <c r="G388" s="301"/>
    </row>
    <row r="389">
      <c r="G389" s="301"/>
    </row>
    <row r="390">
      <c r="G390" s="301"/>
    </row>
    <row r="391">
      <c r="G391" s="301"/>
    </row>
    <row r="392">
      <c r="G392" s="301"/>
    </row>
    <row r="393">
      <c r="G393" s="301"/>
    </row>
    <row r="394">
      <c r="G394" s="301"/>
    </row>
    <row r="395">
      <c r="G395" s="301"/>
    </row>
    <row r="396">
      <c r="G396" s="301"/>
    </row>
    <row r="397">
      <c r="G397" s="301"/>
    </row>
    <row r="398">
      <c r="G398" s="301"/>
    </row>
    <row r="399">
      <c r="G399" s="301"/>
    </row>
    <row r="400">
      <c r="G400" s="301"/>
    </row>
    <row r="401">
      <c r="G401" s="301"/>
    </row>
    <row r="402">
      <c r="G402" s="301"/>
    </row>
    <row r="403">
      <c r="G403" s="301"/>
    </row>
    <row r="404">
      <c r="G404" s="301"/>
    </row>
    <row r="405">
      <c r="G405" s="301"/>
    </row>
    <row r="406">
      <c r="G406" s="301"/>
    </row>
    <row r="407">
      <c r="G407" s="301"/>
    </row>
    <row r="408">
      <c r="G408" s="301"/>
    </row>
    <row r="409">
      <c r="G409" s="301"/>
    </row>
    <row r="410">
      <c r="G410" s="301"/>
    </row>
    <row r="411">
      <c r="G411" s="301"/>
    </row>
    <row r="412">
      <c r="G412" s="301"/>
    </row>
    <row r="413">
      <c r="G413" s="301"/>
    </row>
    <row r="414">
      <c r="G414" s="301"/>
    </row>
    <row r="415">
      <c r="G415" s="301"/>
    </row>
    <row r="416">
      <c r="G416" s="301"/>
    </row>
    <row r="417">
      <c r="G417" s="301"/>
    </row>
    <row r="418">
      <c r="G418" s="301"/>
    </row>
    <row r="419">
      <c r="G419" s="301"/>
    </row>
    <row r="420">
      <c r="G420" s="301"/>
    </row>
    <row r="421">
      <c r="G421" s="301"/>
    </row>
    <row r="422">
      <c r="G422" s="301"/>
    </row>
    <row r="423">
      <c r="G423" s="301"/>
    </row>
    <row r="424">
      <c r="G424" s="301"/>
    </row>
    <row r="425">
      <c r="G425" s="301"/>
    </row>
    <row r="426">
      <c r="G426" s="301"/>
    </row>
    <row r="427">
      <c r="G427" s="301"/>
    </row>
    <row r="428">
      <c r="G428" s="301"/>
    </row>
    <row r="429">
      <c r="G429" s="301"/>
    </row>
    <row r="430">
      <c r="G430" s="301"/>
    </row>
    <row r="431">
      <c r="G431" s="301"/>
    </row>
    <row r="432">
      <c r="G432" s="301"/>
    </row>
    <row r="433">
      <c r="G433" s="301"/>
    </row>
    <row r="434">
      <c r="G434" s="301"/>
    </row>
    <row r="435">
      <c r="G435" s="301"/>
    </row>
    <row r="436">
      <c r="G436" s="301"/>
    </row>
    <row r="437">
      <c r="G437" s="301"/>
    </row>
    <row r="438">
      <c r="G438" s="301"/>
    </row>
    <row r="439">
      <c r="G439" s="301"/>
    </row>
    <row r="440">
      <c r="G440" s="301"/>
    </row>
    <row r="441">
      <c r="G441" s="301"/>
    </row>
    <row r="442">
      <c r="G442" s="301"/>
    </row>
    <row r="443">
      <c r="G443" s="301"/>
    </row>
    <row r="444">
      <c r="G444" s="301"/>
    </row>
    <row r="445">
      <c r="G445" s="301"/>
    </row>
    <row r="446">
      <c r="G446" s="301"/>
    </row>
    <row r="447">
      <c r="G447" s="301"/>
    </row>
    <row r="448">
      <c r="G448" s="301"/>
    </row>
    <row r="449">
      <c r="G449" s="301"/>
    </row>
    <row r="450">
      <c r="G450" s="301"/>
    </row>
    <row r="451">
      <c r="G451" s="301"/>
    </row>
    <row r="452">
      <c r="G452" s="301"/>
    </row>
    <row r="453">
      <c r="G453" s="301"/>
    </row>
    <row r="454">
      <c r="G454" s="301"/>
    </row>
    <row r="455">
      <c r="G455" s="301"/>
    </row>
    <row r="456">
      <c r="G456" s="301"/>
    </row>
    <row r="457">
      <c r="G457" s="301"/>
    </row>
    <row r="458">
      <c r="G458" s="301"/>
    </row>
    <row r="459">
      <c r="G459" s="301"/>
    </row>
    <row r="460">
      <c r="G460" s="301"/>
    </row>
    <row r="461">
      <c r="G461" s="301"/>
    </row>
    <row r="462">
      <c r="G462" s="301"/>
    </row>
    <row r="463">
      <c r="G463" s="301"/>
    </row>
    <row r="464">
      <c r="G464" s="301"/>
    </row>
    <row r="465">
      <c r="G465" s="301"/>
    </row>
    <row r="466">
      <c r="G466" s="301"/>
    </row>
    <row r="467">
      <c r="G467" s="301"/>
    </row>
    <row r="468">
      <c r="G468" s="301"/>
    </row>
    <row r="469">
      <c r="G469" s="301"/>
    </row>
    <row r="470">
      <c r="G470" s="301"/>
    </row>
    <row r="471">
      <c r="G471" s="301"/>
    </row>
    <row r="472">
      <c r="G472" s="301"/>
    </row>
    <row r="473">
      <c r="G473" s="301"/>
    </row>
    <row r="474">
      <c r="G474" s="301"/>
    </row>
    <row r="475">
      <c r="G475" s="301"/>
    </row>
    <row r="476">
      <c r="G476" s="301"/>
    </row>
    <row r="477">
      <c r="G477" s="301"/>
    </row>
    <row r="478">
      <c r="G478" s="301"/>
    </row>
    <row r="479">
      <c r="G479" s="301"/>
    </row>
    <row r="480">
      <c r="G480" s="301"/>
    </row>
    <row r="481">
      <c r="G481" s="301"/>
    </row>
    <row r="482">
      <c r="G482" s="301"/>
    </row>
    <row r="483">
      <c r="G483" s="301"/>
    </row>
    <row r="484">
      <c r="G484" s="301"/>
    </row>
    <row r="485">
      <c r="G485" s="301"/>
    </row>
    <row r="486">
      <c r="G486" s="301"/>
    </row>
    <row r="487">
      <c r="G487" s="301"/>
    </row>
    <row r="488">
      <c r="G488" s="301"/>
    </row>
    <row r="489">
      <c r="G489" s="301"/>
    </row>
    <row r="490">
      <c r="G490" s="301"/>
    </row>
    <row r="491">
      <c r="G491" s="301"/>
    </row>
    <row r="492">
      <c r="G492" s="301"/>
    </row>
    <row r="493">
      <c r="G493" s="301"/>
    </row>
    <row r="494">
      <c r="G494" s="301"/>
    </row>
    <row r="495">
      <c r="G495" s="301"/>
    </row>
    <row r="496">
      <c r="G496" s="301"/>
    </row>
    <row r="497">
      <c r="G497" s="301"/>
    </row>
    <row r="498">
      <c r="G498" s="301"/>
    </row>
    <row r="499">
      <c r="G499" s="301"/>
    </row>
    <row r="500">
      <c r="G500" s="301"/>
    </row>
    <row r="501">
      <c r="G501" s="301"/>
    </row>
    <row r="502">
      <c r="G502" s="301"/>
    </row>
    <row r="503">
      <c r="G503" s="301"/>
    </row>
    <row r="504">
      <c r="G504" s="301"/>
    </row>
    <row r="505">
      <c r="G505" s="301"/>
    </row>
    <row r="506">
      <c r="G506" s="301"/>
    </row>
    <row r="507">
      <c r="G507" s="301"/>
    </row>
    <row r="508">
      <c r="G508" s="301"/>
    </row>
    <row r="509">
      <c r="G509" s="301"/>
    </row>
    <row r="510">
      <c r="G510" s="301"/>
    </row>
    <row r="511">
      <c r="G511" s="301"/>
    </row>
    <row r="512">
      <c r="G512" s="301"/>
    </row>
    <row r="513">
      <c r="G513" s="301"/>
    </row>
    <row r="514">
      <c r="G514" s="301"/>
    </row>
    <row r="515">
      <c r="G515" s="301"/>
    </row>
    <row r="516">
      <c r="G516" s="301"/>
    </row>
    <row r="517">
      <c r="G517" s="301"/>
    </row>
    <row r="518">
      <c r="G518" s="301"/>
    </row>
    <row r="519">
      <c r="G519" s="301"/>
    </row>
    <row r="520">
      <c r="G520" s="301"/>
    </row>
    <row r="521">
      <c r="G521" s="301"/>
    </row>
    <row r="522">
      <c r="G522" s="301"/>
    </row>
    <row r="523">
      <c r="G523" s="301"/>
    </row>
    <row r="524">
      <c r="G524" s="301"/>
    </row>
    <row r="525">
      <c r="G525" s="301"/>
    </row>
    <row r="526">
      <c r="G526" s="301"/>
    </row>
    <row r="527">
      <c r="G527" s="301"/>
    </row>
    <row r="528">
      <c r="G528" s="301"/>
    </row>
    <row r="529">
      <c r="G529" s="301"/>
    </row>
    <row r="530">
      <c r="G530" s="301"/>
    </row>
    <row r="531">
      <c r="G531" s="301"/>
    </row>
    <row r="532">
      <c r="G532" s="301"/>
    </row>
    <row r="533">
      <c r="G533" s="301"/>
    </row>
    <row r="534">
      <c r="G534" s="301"/>
    </row>
    <row r="535">
      <c r="G535" s="301"/>
    </row>
    <row r="536">
      <c r="G536" s="301"/>
    </row>
    <row r="537">
      <c r="G537" s="301"/>
    </row>
    <row r="538">
      <c r="G538" s="301"/>
    </row>
    <row r="539">
      <c r="G539" s="301"/>
    </row>
    <row r="540">
      <c r="G540" s="301"/>
    </row>
    <row r="541">
      <c r="G541" s="301"/>
    </row>
    <row r="542">
      <c r="G542" s="301"/>
    </row>
    <row r="543">
      <c r="G543" s="301"/>
    </row>
    <row r="544">
      <c r="G544" s="301"/>
    </row>
    <row r="545">
      <c r="G545" s="301"/>
    </row>
    <row r="546">
      <c r="G546" s="301"/>
    </row>
    <row r="547">
      <c r="G547" s="301"/>
    </row>
    <row r="548">
      <c r="G548" s="301"/>
    </row>
    <row r="549">
      <c r="G549" s="301"/>
    </row>
    <row r="550">
      <c r="G550" s="301"/>
    </row>
    <row r="551">
      <c r="G551" s="301"/>
    </row>
    <row r="552">
      <c r="G552" s="301"/>
    </row>
    <row r="553">
      <c r="G553" s="301"/>
    </row>
    <row r="554">
      <c r="G554" s="301"/>
    </row>
    <row r="555">
      <c r="G555" s="301"/>
    </row>
    <row r="556">
      <c r="G556" s="301"/>
    </row>
    <row r="557">
      <c r="G557" s="301"/>
    </row>
    <row r="558">
      <c r="G558" s="301"/>
    </row>
    <row r="559">
      <c r="G559" s="301"/>
    </row>
    <row r="560">
      <c r="G560" s="301"/>
    </row>
    <row r="561">
      <c r="G561" s="301"/>
    </row>
    <row r="562">
      <c r="G562" s="301"/>
    </row>
    <row r="563">
      <c r="G563" s="301"/>
    </row>
    <row r="564">
      <c r="G564" s="301"/>
    </row>
    <row r="565">
      <c r="G565" s="301"/>
    </row>
    <row r="566">
      <c r="G566" s="301"/>
    </row>
    <row r="567">
      <c r="G567" s="301"/>
    </row>
    <row r="568">
      <c r="G568" s="301"/>
    </row>
    <row r="569">
      <c r="G569" s="301"/>
    </row>
    <row r="570">
      <c r="G570" s="301"/>
    </row>
    <row r="571">
      <c r="G571" s="301"/>
    </row>
    <row r="572">
      <c r="G572" s="301"/>
    </row>
    <row r="573">
      <c r="G573" s="301"/>
    </row>
    <row r="574">
      <c r="G574" s="301"/>
    </row>
    <row r="575">
      <c r="G575" s="301"/>
    </row>
    <row r="576">
      <c r="G576" s="301"/>
    </row>
    <row r="577">
      <c r="G577" s="301"/>
    </row>
    <row r="578">
      <c r="G578" s="301"/>
    </row>
    <row r="579">
      <c r="G579" s="301"/>
    </row>
    <row r="580">
      <c r="G580" s="301"/>
    </row>
    <row r="581">
      <c r="G581" s="301"/>
    </row>
    <row r="582">
      <c r="G582" s="301"/>
    </row>
    <row r="583">
      <c r="G583" s="301"/>
    </row>
    <row r="584">
      <c r="G584" s="301"/>
    </row>
    <row r="585">
      <c r="G585" s="301"/>
    </row>
    <row r="586">
      <c r="G586" s="301"/>
    </row>
    <row r="587">
      <c r="G587" s="301"/>
    </row>
    <row r="588">
      <c r="G588" s="301"/>
    </row>
    <row r="589">
      <c r="G589" s="301"/>
    </row>
    <row r="590">
      <c r="G590" s="301"/>
    </row>
    <row r="591">
      <c r="G591" s="301"/>
    </row>
    <row r="592">
      <c r="G592" s="301"/>
    </row>
    <row r="593">
      <c r="G593" s="301"/>
    </row>
    <row r="594">
      <c r="G594" s="301"/>
    </row>
    <row r="595">
      <c r="G595" s="301"/>
    </row>
    <row r="596">
      <c r="G596" s="301"/>
    </row>
    <row r="597">
      <c r="G597" s="301"/>
    </row>
    <row r="598">
      <c r="G598" s="301"/>
    </row>
    <row r="599">
      <c r="G599" s="301"/>
    </row>
    <row r="600">
      <c r="G600" s="301"/>
    </row>
    <row r="601">
      <c r="G601" s="301"/>
    </row>
    <row r="602">
      <c r="G602" s="301"/>
    </row>
    <row r="603">
      <c r="G603" s="301"/>
    </row>
    <row r="604">
      <c r="G604" s="301"/>
    </row>
    <row r="605">
      <c r="G605" s="301"/>
    </row>
    <row r="606">
      <c r="G606" s="301"/>
    </row>
    <row r="607">
      <c r="G607" s="301"/>
    </row>
    <row r="608">
      <c r="G608" s="301"/>
    </row>
    <row r="609">
      <c r="G609" s="301"/>
    </row>
    <row r="610">
      <c r="G610" s="301"/>
    </row>
    <row r="611">
      <c r="G611" s="301"/>
    </row>
    <row r="612">
      <c r="G612" s="301"/>
    </row>
    <row r="613">
      <c r="G613" s="301"/>
    </row>
    <row r="614">
      <c r="G614" s="301"/>
    </row>
    <row r="615">
      <c r="G615" s="301"/>
    </row>
    <row r="616">
      <c r="G616" s="301"/>
    </row>
    <row r="617">
      <c r="G617" s="301"/>
    </row>
    <row r="618">
      <c r="G618" s="301"/>
    </row>
    <row r="619">
      <c r="G619" s="301"/>
    </row>
    <row r="620">
      <c r="G620" s="301"/>
    </row>
    <row r="621">
      <c r="G621" s="301"/>
    </row>
    <row r="622">
      <c r="G622" s="301"/>
    </row>
    <row r="623">
      <c r="G623" s="301"/>
    </row>
    <row r="624">
      <c r="G624" s="301"/>
    </row>
    <row r="625">
      <c r="G625" s="301"/>
    </row>
    <row r="626">
      <c r="G626" s="301"/>
    </row>
    <row r="627">
      <c r="G627" s="301"/>
    </row>
    <row r="628">
      <c r="G628" s="301"/>
    </row>
    <row r="629">
      <c r="G629" s="301"/>
    </row>
    <row r="630">
      <c r="G630" s="301"/>
    </row>
    <row r="631">
      <c r="G631" s="301"/>
    </row>
    <row r="632">
      <c r="G632" s="301"/>
    </row>
    <row r="633">
      <c r="G633" s="301"/>
    </row>
    <row r="634">
      <c r="G634" s="301"/>
    </row>
    <row r="635">
      <c r="G635" s="301"/>
    </row>
    <row r="636">
      <c r="G636" s="301"/>
    </row>
    <row r="637">
      <c r="G637" s="301"/>
    </row>
    <row r="638">
      <c r="G638" s="301"/>
    </row>
    <row r="639">
      <c r="G639" s="301"/>
    </row>
    <row r="640">
      <c r="G640" s="301"/>
    </row>
    <row r="641">
      <c r="G641" s="301"/>
    </row>
    <row r="642">
      <c r="G642" s="301"/>
    </row>
    <row r="643">
      <c r="G643" s="301"/>
    </row>
    <row r="644">
      <c r="G644" s="301"/>
    </row>
    <row r="645">
      <c r="G645" s="301"/>
    </row>
    <row r="646">
      <c r="G646" s="301"/>
    </row>
    <row r="647">
      <c r="G647" s="301"/>
    </row>
    <row r="648">
      <c r="G648" s="301"/>
    </row>
    <row r="649">
      <c r="G649" s="301"/>
    </row>
    <row r="650">
      <c r="G650" s="301"/>
    </row>
    <row r="651">
      <c r="G651" s="301"/>
    </row>
    <row r="652">
      <c r="G652" s="301"/>
    </row>
    <row r="653">
      <c r="G653" s="301"/>
    </row>
    <row r="654">
      <c r="G654" s="301"/>
    </row>
    <row r="655">
      <c r="G655" s="301"/>
    </row>
    <row r="656">
      <c r="G656" s="301"/>
    </row>
    <row r="657">
      <c r="G657" s="301"/>
    </row>
    <row r="658">
      <c r="G658" s="301"/>
    </row>
    <row r="659">
      <c r="G659" s="301"/>
    </row>
    <row r="660">
      <c r="G660" s="301"/>
    </row>
    <row r="661">
      <c r="G661" s="301"/>
    </row>
    <row r="662">
      <c r="G662" s="301"/>
    </row>
    <row r="663">
      <c r="G663" s="301"/>
    </row>
    <row r="664">
      <c r="G664" s="301"/>
    </row>
    <row r="665">
      <c r="G665" s="301"/>
    </row>
    <row r="666">
      <c r="G666" s="301"/>
    </row>
    <row r="667">
      <c r="G667" s="301"/>
    </row>
    <row r="668">
      <c r="G668" s="301"/>
    </row>
    <row r="669">
      <c r="G669" s="301"/>
    </row>
    <row r="670">
      <c r="G670" s="301"/>
    </row>
    <row r="671">
      <c r="G671" s="301"/>
    </row>
    <row r="672">
      <c r="G672" s="301"/>
    </row>
    <row r="673">
      <c r="G673" s="301"/>
    </row>
    <row r="674">
      <c r="G674" s="301"/>
    </row>
    <row r="675">
      <c r="G675" s="301"/>
    </row>
    <row r="676">
      <c r="G676" s="301"/>
    </row>
    <row r="677">
      <c r="G677" s="301"/>
    </row>
    <row r="678">
      <c r="G678" s="301"/>
    </row>
    <row r="679">
      <c r="G679" s="301"/>
    </row>
    <row r="680">
      <c r="G680" s="301"/>
    </row>
    <row r="681">
      <c r="G681" s="301"/>
    </row>
    <row r="682">
      <c r="G682" s="301"/>
    </row>
    <row r="683">
      <c r="G683" s="301"/>
    </row>
    <row r="684">
      <c r="G684" s="301"/>
    </row>
    <row r="685">
      <c r="G685" s="301"/>
    </row>
    <row r="686">
      <c r="G686" s="301"/>
    </row>
    <row r="687">
      <c r="G687" s="301"/>
    </row>
    <row r="688">
      <c r="G688" s="301"/>
    </row>
    <row r="689">
      <c r="G689" s="301"/>
    </row>
    <row r="690">
      <c r="G690" s="301"/>
    </row>
    <row r="691">
      <c r="G691" s="301"/>
    </row>
    <row r="692">
      <c r="G692" s="301"/>
    </row>
    <row r="693">
      <c r="G693" s="301"/>
    </row>
    <row r="694">
      <c r="G694" s="301"/>
    </row>
    <row r="695">
      <c r="G695" s="301"/>
    </row>
    <row r="696">
      <c r="G696" s="301"/>
    </row>
    <row r="697">
      <c r="G697" s="301"/>
    </row>
    <row r="698">
      <c r="G698" s="301"/>
    </row>
    <row r="699">
      <c r="G699" s="301"/>
    </row>
    <row r="700">
      <c r="G700" s="301"/>
    </row>
    <row r="701">
      <c r="G701" s="301"/>
    </row>
    <row r="702">
      <c r="G702" s="301"/>
    </row>
    <row r="703">
      <c r="G703" s="301"/>
    </row>
    <row r="704">
      <c r="G704" s="301"/>
    </row>
    <row r="705">
      <c r="G705" s="301"/>
    </row>
    <row r="706">
      <c r="G706" s="301"/>
    </row>
    <row r="707">
      <c r="G707" s="301"/>
    </row>
    <row r="708">
      <c r="G708" s="301"/>
    </row>
    <row r="709">
      <c r="G709" s="301"/>
    </row>
    <row r="710">
      <c r="G710" s="301"/>
    </row>
    <row r="711">
      <c r="G711" s="301"/>
    </row>
    <row r="712">
      <c r="G712" s="301"/>
    </row>
    <row r="713">
      <c r="G713" s="301"/>
    </row>
    <row r="714">
      <c r="G714" s="301"/>
    </row>
    <row r="715">
      <c r="G715" s="301"/>
    </row>
    <row r="716">
      <c r="G716" s="301"/>
    </row>
    <row r="717">
      <c r="G717" s="301"/>
    </row>
    <row r="718">
      <c r="G718" s="301"/>
    </row>
    <row r="719">
      <c r="G719" s="301"/>
    </row>
    <row r="720">
      <c r="G720" s="301"/>
    </row>
    <row r="721">
      <c r="G721" s="301"/>
    </row>
    <row r="722">
      <c r="G722" s="301"/>
    </row>
    <row r="723">
      <c r="G723" s="301"/>
    </row>
    <row r="724">
      <c r="G724" s="301"/>
    </row>
    <row r="725">
      <c r="G725" s="301"/>
    </row>
    <row r="726">
      <c r="G726" s="301"/>
    </row>
    <row r="727">
      <c r="G727" s="301"/>
    </row>
    <row r="728">
      <c r="G728" s="301"/>
    </row>
    <row r="729">
      <c r="G729" s="301"/>
    </row>
    <row r="730">
      <c r="G730" s="301"/>
    </row>
    <row r="731">
      <c r="G731" s="301"/>
    </row>
    <row r="732">
      <c r="G732" s="301"/>
    </row>
    <row r="733">
      <c r="G733" s="301"/>
    </row>
    <row r="734">
      <c r="G734" s="301"/>
    </row>
    <row r="735">
      <c r="G735" s="301"/>
    </row>
    <row r="736">
      <c r="G736" s="301"/>
    </row>
    <row r="737">
      <c r="G737" s="301"/>
    </row>
    <row r="738">
      <c r="G738" s="301"/>
    </row>
    <row r="739">
      <c r="G739" s="301"/>
    </row>
    <row r="740">
      <c r="G740" s="301"/>
    </row>
    <row r="741">
      <c r="G741" s="301"/>
    </row>
    <row r="742">
      <c r="G742" s="301"/>
    </row>
    <row r="743">
      <c r="G743" s="301"/>
    </row>
    <row r="744">
      <c r="G744" s="301"/>
    </row>
    <row r="745">
      <c r="G745" s="301"/>
    </row>
    <row r="746">
      <c r="G746" s="301"/>
    </row>
    <row r="747">
      <c r="G747" s="301"/>
    </row>
    <row r="748">
      <c r="G748" s="301"/>
    </row>
    <row r="749">
      <c r="G749" s="301"/>
    </row>
    <row r="750">
      <c r="G750" s="301"/>
    </row>
    <row r="751">
      <c r="G751" s="301"/>
    </row>
    <row r="752">
      <c r="G752" s="301"/>
    </row>
    <row r="753">
      <c r="G753" s="301"/>
    </row>
    <row r="754">
      <c r="G754" s="301"/>
    </row>
    <row r="755">
      <c r="G755" s="301"/>
    </row>
    <row r="756">
      <c r="G756" s="301"/>
    </row>
    <row r="757">
      <c r="G757" s="301"/>
    </row>
    <row r="758">
      <c r="G758" s="301"/>
    </row>
    <row r="759">
      <c r="G759" s="301"/>
    </row>
    <row r="760">
      <c r="G760" s="301"/>
    </row>
    <row r="761">
      <c r="G761" s="301"/>
    </row>
    <row r="762">
      <c r="G762" s="301"/>
    </row>
    <row r="763">
      <c r="G763" s="301"/>
    </row>
    <row r="764">
      <c r="G764" s="301"/>
    </row>
    <row r="765">
      <c r="G765" s="301"/>
    </row>
    <row r="766">
      <c r="G766" s="301"/>
    </row>
    <row r="767">
      <c r="G767" s="301"/>
    </row>
    <row r="768">
      <c r="G768" s="301"/>
    </row>
    <row r="769">
      <c r="G769" s="301"/>
    </row>
    <row r="770">
      <c r="G770" s="301"/>
    </row>
    <row r="771">
      <c r="G771" s="301"/>
    </row>
    <row r="772">
      <c r="G772" s="301"/>
    </row>
    <row r="773">
      <c r="G773" s="301"/>
    </row>
    <row r="774">
      <c r="G774" s="301"/>
    </row>
    <row r="775">
      <c r="G775" s="301"/>
    </row>
    <row r="776">
      <c r="G776" s="301"/>
    </row>
    <row r="777">
      <c r="G777" s="301"/>
    </row>
    <row r="778">
      <c r="G778" s="301"/>
    </row>
    <row r="779">
      <c r="G779" s="301"/>
    </row>
    <row r="780">
      <c r="G780" s="301"/>
    </row>
    <row r="781">
      <c r="G781" s="301"/>
    </row>
    <row r="782">
      <c r="G782" s="301"/>
    </row>
    <row r="783">
      <c r="G783" s="301"/>
    </row>
    <row r="784">
      <c r="G784" s="301"/>
    </row>
    <row r="785">
      <c r="G785" s="301"/>
    </row>
    <row r="786">
      <c r="G786" s="301"/>
    </row>
    <row r="787">
      <c r="G787" s="301"/>
    </row>
    <row r="788">
      <c r="G788" s="301"/>
    </row>
    <row r="789">
      <c r="G789" s="301"/>
    </row>
    <row r="790">
      <c r="G790" s="301"/>
    </row>
    <row r="791">
      <c r="G791" s="301"/>
    </row>
    <row r="792">
      <c r="G792" s="301"/>
    </row>
    <row r="793">
      <c r="G793" s="301"/>
    </row>
    <row r="794">
      <c r="G794" s="301"/>
    </row>
    <row r="795">
      <c r="G795" s="301"/>
    </row>
    <row r="796">
      <c r="G796" s="301"/>
    </row>
    <row r="797">
      <c r="G797" s="301"/>
    </row>
    <row r="798">
      <c r="G798" s="301"/>
    </row>
    <row r="799">
      <c r="G799" s="301"/>
    </row>
    <row r="800">
      <c r="G800" s="301"/>
    </row>
    <row r="801">
      <c r="G801" s="301"/>
    </row>
    <row r="802">
      <c r="G802" s="301"/>
    </row>
    <row r="803">
      <c r="G803" s="301"/>
    </row>
    <row r="804">
      <c r="G804" s="301"/>
    </row>
    <row r="805">
      <c r="G805" s="301"/>
    </row>
    <row r="806">
      <c r="G806" s="301"/>
    </row>
    <row r="807">
      <c r="G807" s="301"/>
    </row>
    <row r="808">
      <c r="G808" s="301"/>
    </row>
    <row r="809">
      <c r="G809" s="301"/>
    </row>
    <row r="810">
      <c r="G810" s="301"/>
    </row>
    <row r="811">
      <c r="G811" s="301"/>
    </row>
    <row r="812">
      <c r="G812" s="301"/>
    </row>
    <row r="813">
      <c r="G813" s="301"/>
    </row>
    <row r="814">
      <c r="G814" s="301"/>
    </row>
    <row r="815">
      <c r="G815" s="301"/>
    </row>
    <row r="816">
      <c r="G816" s="301"/>
    </row>
    <row r="817">
      <c r="G817" s="301"/>
    </row>
    <row r="818">
      <c r="G818" s="301"/>
    </row>
    <row r="819">
      <c r="G819" s="301"/>
    </row>
    <row r="820">
      <c r="G820" s="301"/>
    </row>
    <row r="821">
      <c r="G821" s="301"/>
    </row>
    <row r="822">
      <c r="G822" s="301"/>
    </row>
    <row r="823">
      <c r="G823" s="301"/>
    </row>
    <row r="824">
      <c r="G824" s="301"/>
    </row>
    <row r="825">
      <c r="G825" s="301"/>
    </row>
    <row r="826">
      <c r="G826" s="301"/>
    </row>
    <row r="827">
      <c r="G827" s="301"/>
    </row>
    <row r="828">
      <c r="G828" s="301"/>
    </row>
    <row r="829">
      <c r="G829" s="301"/>
    </row>
    <row r="830">
      <c r="G830" s="301"/>
    </row>
    <row r="831">
      <c r="G831" s="301"/>
    </row>
    <row r="832">
      <c r="G832" s="301"/>
    </row>
    <row r="833">
      <c r="G833" s="301"/>
    </row>
    <row r="834">
      <c r="G834" s="301"/>
    </row>
    <row r="835">
      <c r="G835" s="301"/>
    </row>
    <row r="836">
      <c r="G836" s="301"/>
    </row>
    <row r="837">
      <c r="G837" s="301"/>
    </row>
    <row r="838">
      <c r="G838" s="301"/>
    </row>
    <row r="839">
      <c r="G839" s="301"/>
    </row>
    <row r="840">
      <c r="G840" s="301"/>
    </row>
    <row r="841">
      <c r="G841" s="301"/>
    </row>
    <row r="842">
      <c r="G842" s="301"/>
    </row>
    <row r="843">
      <c r="G843" s="301"/>
    </row>
    <row r="844">
      <c r="G844" s="301"/>
    </row>
    <row r="845">
      <c r="G845" s="301"/>
    </row>
    <row r="846">
      <c r="G846" s="301"/>
    </row>
    <row r="847">
      <c r="G847" s="301"/>
    </row>
    <row r="848">
      <c r="G848" s="301"/>
    </row>
    <row r="849">
      <c r="G849" s="301"/>
    </row>
    <row r="850">
      <c r="G850" s="301"/>
    </row>
    <row r="851">
      <c r="G851" s="301"/>
    </row>
    <row r="852">
      <c r="G852" s="301"/>
    </row>
    <row r="853">
      <c r="G853" s="301"/>
    </row>
    <row r="854">
      <c r="G854" s="301"/>
    </row>
    <row r="855">
      <c r="G855" s="301"/>
    </row>
    <row r="856">
      <c r="G856" s="301"/>
    </row>
    <row r="857">
      <c r="G857" s="301"/>
    </row>
    <row r="858">
      <c r="G858" s="301"/>
    </row>
    <row r="859">
      <c r="G859" s="301"/>
    </row>
    <row r="860">
      <c r="G860" s="301"/>
    </row>
    <row r="861">
      <c r="G861" s="301"/>
    </row>
    <row r="862">
      <c r="G862" s="301"/>
    </row>
    <row r="863">
      <c r="G863" s="301"/>
    </row>
    <row r="864">
      <c r="G864" s="301"/>
    </row>
    <row r="865">
      <c r="G865" s="301"/>
    </row>
    <row r="866">
      <c r="G866" s="301"/>
    </row>
    <row r="867">
      <c r="G867" s="301"/>
    </row>
    <row r="868">
      <c r="G868" s="301"/>
    </row>
    <row r="869">
      <c r="G869" s="301"/>
    </row>
    <row r="870">
      <c r="G870" s="301"/>
    </row>
    <row r="871">
      <c r="G871" s="301"/>
    </row>
    <row r="872">
      <c r="G872" s="301"/>
    </row>
    <row r="873">
      <c r="G873" s="301"/>
    </row>
    <row r="874">
      <c r="G874" s="301"/>
    </row>
    <row r="875">
      <c r="G875" s="301"/>
    </row>
    <row r="876">
      <c r="G876" s="301"/>
    </row>
    <row r="877">
      <c r="G877" s="301"/>
    </row>
    <row r="878">
      <c r="G878" s="301"/>
    </row>
    <row r="879">
      <c r="G879" s="301"/>
    </row>
    <row r="880">
      <c r="G880" s="301"/>
    </row>
    <row r="881">
      <c r="G881" s="301"/>
    </row>
    <row r="882">
      <c r="G882" s="301"/>
    </row>
    <row r="883">
      <c r="G883" s="301"/>
    </row>
    <row r="884">
      <c r="G884" s="301"/>
    </row>
    <row r="885">
      <c r="G885" s="301"/>
    </row>
    <row r="886">
      <c r="G886" s="301"/>
    </row>
    <row r="887">
      <c r="G887" s="301"/>
    </row>
    <row r="888">
      <c r="G888" s="301"/>
    </row>
    <row r="889">
      <c r="G889" s="301"/>
    </row>
    <row r="890">
      <c r="G890" s="301"/>
    </row>
    <row r="891">
      <c r="G891" s="301"/>
    </row>
    <row r="892">
      <c r="G892" s="301"/>
    </row>
    <row r="893">
      <c r="G893" s="301"/>
    </row>
    <row r="894">
      <c r="G894" s="301"/>
    </row>
    <row r="895">
      <c r="G895" s="301"/>
    </row>
    <row r="896">
      <c r="G896" s="301"/>
    </row>
    <row r="897">
      <c r="G897" s="301"/>
    </row>
    <row r="898">
      <c r="G898" s="301"/>
    </row>
    <row r="899">
      <c r="G899" s="301"/>
    </row>
    <row r="900">
      <c r="G900" s="301"/>
    </row>
    <row r="901">
      <c r="G901" s="301"/>
    </row>
    <row r="902">
      <c r="G902" s="301"/>
    </row>
    <row r="903">
      <c r="G903" s="301"/>
    </row>
    <row r="904">
      <c r="G904" s="301"/>
    </row>
    <row r="905">
      <c r="G905" s="301"/>
    </row>
    <row r="906">
      <c r="G906" s="301"/>
    </row>
    <row r="907">
      <c r="G907" s="301"/>
    </row>
    <row r="908">
      <c r="G908" s="301"/>
    </row>
    <row r="909">
      <c r="G909" s="301"/>
    </row>
    <row r="910">
      <c r="G910" s="301"/>
    </row>
    <row r="911">
      <c r="G911" s="301"/>
    </row>
    <row r="912">
      <c r="G912" s="301"/>
    </row>
    <row r="913">
      <c r="G913" s="301"/>
    </row>
    <row r="914">
      <c r="G914" s="301"/>
    </row>
    <row r="915">
      <c r="G915" s="301"/>
    </row>
    <row r="916">
      <c r="G916" s="301"/>
    </row>
    <row r="917">
      <c r="G917" s="301"/>
    </row>
    <row r="918">
      <c r="G918" s="301"/>
    </row>
    <row r="919">
      <c r="G919" s="301"/>
    </row>
    <row r="920">
      <c r="G920" s="301"/>
    </row>
    <row r="921">
      <c r="G921" s="301"/>
    </row>
    <row r="922">
      <c r="G922" s="301"/>
    </row>
    <row r="923">
      <c r="G923" s="301"/>
    </row>
    <row r="924">
      <c r="G924" s="301"/>
    </row>
    <row r="925">
      <c r="G925" s="301"/>
    </row>
    <row r="926">
      <c r="G926" s="301"/>
    </row>
    <row r="927">
      <c r="G927" s="301"/>
    </row>
    <row r="928">
      <c r="G928" s="301"/>
    </row>
    <row r="929">
      <c r="G929" s="301"/>
    </row>
    <row r="930">
      <c r="G930" s="301"/>
    </row>
    <row r="931">
      <c r="G931" s="301"/>
    </row>
    <row r="932">
      <c r="G932" s="301"/>
    </row>
    <row r="933">
      <c r="G933" s="301"/>
    </row>
    <row r="934">
      <c r="G934" s="301"/>
    </row>
    <row r="935">
      <c r="G935" s="301"/>
    </row>
    <row r="936">
      <c r="G936" s="301"/>
    </row>
    <row r="937">
      <c r="G937" s="301"/>
    </row>
    <row r="938">
      <c r="G938" s="301"/>
    </row>
    <row r="939">
      <c r="G939" s="301"/>
    </row>
    <row r="940">
      <c r="G940" s="301"/>
    </row>
    <row r="941">
      <c r="G941" s="301"/>
    </row>
    <row r="942">
      <c r="G942" s="301"/>
    </row>
    <row r="943">
      <c r="G943" s="301"/>
    </row>
    <row r="944">
      <c r="G944" s="301"/>
    </row>
    <row r="945">
      <c r="G945" s="301"/>
    </row>
    <row r="946">
      <c r="G946" s="301"/>
    </row>
    <row r="947">
      <c r="G947" s="301"/>
    </row>
    <row r="948">
      <c r="G948" s="301"/>
    </row>
    <row r="949">
      <c r="G949" s="301"/>
    </row>
    <row r="950">
      <c r="G950" s="301"/>
    </row>
    <row r="951">
      <c r="G951" s="301"/>
    </row>
    <row r="952">
      <c r="G952" s="301"/>
    </row>
    <row r="953">
      <c r="G953" s="301"/>
    </row>
    <row r="954">
      <c r="G954" s="301"/>
    </row>
    <row r="955">
      <c r="G955" s="301"/>
    </row>
    <row r="956">
      <c r="G956" s="301"/>
    </row>
    <row r="957">
      <c r="G957" s="301"/>
    </row>
    <row r="958">
      <c r="G958" s="301"/>
    </row>
    <row r="959">
      <c r="G959" s="301"/>
    </row>
    <row r="960">
      <c r="G960" s="301"/>
    </row>
    <row r="961">
      <c r="G961" s="301"/>
    </row>
    <row r="962">
      <c r="G962" s="301"/>
    </row>
    <row r="963">
      <c r="G963" s="301"/>
    </row>
    <row r="964">
      <c r="G964" s="301"/>
    </row>
    <row r="965">
      <c r="G965" s="301"/>
    </row>
    <row r="966">
      <c r="G966" s="301"/>
    </row>
    <row r="967">
      <c r="G967" s="301"/>
    </row>
    <row r="968">
      <c r="G968" s="301"/>
    </row>
    <row r="969">
      <c r="G969" s="301"/>
    </row>
    <row r="970">
      <c r="G970" s="301"/>
    </row>
    <row r="971">
      <c r="G971" s="301"/>
    </row>
    <row r="972">
      <c r="G972" s="301"/>
    </row>
    <row r="973">
      <c r="G973" s="301"/>
    </row>
    <row r="974">
      <c r="G974" s="301"/>
    </row>
    <row r="975">
      <c r="G975" s="301"/>
    </row>
    <row r="976">
      <c r="G976" s="301"/>
    </row>
    <row r="977">
      <c r="G977" s="301"/>
    </row>
    <row r="978">
      <c r="G978" s="301"/>
    </row>
    <row r="979">
      <c r="G979" s="301"/>
    </row>
    <row r="980">
      <c r="G980" s="301"/>
    </row>
    <row r="981">
      <c r="G981" s="301"/>
    </row>
    <row r="982">
      <c r="G982" s="301"/>
    </row>
    <row r="983">
      <c r="G983" s="301"/>
    </row>
    <row r="984">
      <c r="G984" s="301"/>
    </row>
    <row r="985">
      <c r="G985" s="301"/>
    </row>
    <row r="986">
      <c r="G986" s="301"/>
    </row>
    <row r="987">
      <c r="G987" s="301"/>
    </row>
    <row r="988">
      <c r="G988" s="301"/>
    </row>
    <row r="989">
      <c r="G989" s="301"/>
    </row>
    <row r="990">
      <c r="G990" s="301"/>
    </row>
    <row r="991">
      <c r="G991" s="301"/>
    </row>
    <row r="992">
      <c r="G992" s="301"/>
    </row>
    <row r="993">
      <c r="G993" s="301"/>
    </row>
    <row r="994">
      <c r="G994" s="301"/>
    </row>
    <row r="995">
      <c r="G995" s="301"/>
    </row>
    <row r="996">
      <c r="G996" s="301"/>
    </row>
    <row r="997">
      <c r="G997" s="301"/>
    </row>
    <row r="998">
      <c r="G998" s="301"/>
    </row>
    <row r="999">
      <c r="G999" s="301"/>
    </row>
    <row r="1000">
      <c r="G1000" s="301"/>
    </row>
    <row r="1001">
      <c r="G1001" s="301"/>
    </row>
    <row r="1002">
      <c r="G1002" s="301"/>
    </row>
    <row r="1003">
      <c r="G1003" s="301"/>
    </row>
    <row r="1004">
      <c r="G1004" s="301"/>
    </row>
    <row r="1005">
      <c r="G1005" s="301"/>
    </row>
    <row r="1006">
      <c r="G1006" s="301"/>
    </row>
    <row r="1007">
      <c r="G1007" s="301"/>
    </row>
    <row r="1008">
      <c r="G1008" s="301"/>
    </row>
    <row r="1009">
      <c r="G1009" s="301"/>
    </row>
    <row r="1010">
      <c r="G1010" s="301"/>
    </row>
    <row r="1011">
      <c r="G1011" s="301"/>
    </row>
    <row r="1012">
      <c r="G1012" s="301"/>
    </row>
    <row r="1013">
      <c r="G1013" s="301"/>
    </row>
    <row r="1014">
      <c r="G1014" s="301"/>
    </row>
    <row r="1015">
      <c r="G1015" s="301"/>
    </row>
    <row r="1016">
      <c r="G1016" s="301"/>
    </row>
    <row r="1017">
      <c r="G1017" s="301"/>
    </row>
    <row r="1018">
      <c r="G1018" s="301"/>
    </row>
    <row r="1019">
      <c r="G1019" s="301"/>
    </row>
    <row r="1020">
      <c r="G1020" s="301"/>
    </row>
    <row r="1021">
      <c r="G1021" s="301"/>
    </row>
    <row r="1022">
      <c r="G1022" s="301"/>
    </row>
    <row r="1023">
      <c r="G1023" s="301"/>
    </row>
    <row r="1024">
      <c r="G1024" s="301"/>
    </row>
    <row r="1025">
      <c r="G1025" s="301"/>
    </row>
    <row r="1026">
      <c r="G1026" s="301"/>
    </row>
    <row r="1027">
      <c r="G1027" s="301"/>
    </row>
    <row r="1028">
      <c r="G1028" s="301"/>
    </row>
    <row r="1029">
      <c r="G1029" s="301"/>
    </row>
    <row r="1030">
      <c r="G1030" s="301"/>
    </row>
    <row r="1031">
      <c r="G1031" s="301"/>
    </row>
    <row r="1032">
      <c r="G1032" s="301"/>
    </row>
    <row r="1033">
      <c r="G1033" s="301"/>
    </row>
    <row r="1034">
      <c r="G1034" s="301"/>
    </row>
    <row r="1035">
      <c r="G1035" s="301"/>
    </row>
    <row r="1036">
      <c r="G1036" s="301"/>
    </row>
    <row r="1037">
      <c r="G1037" s="301"/>
    </row>
    <row r="1038">
      <c r="G1038" s="301"/>
    </row>
    <row r="1039">
      <c r="G1039" s="301"/>
    </row>
    <row r="1040">
      <c r="G1040" s="301"/>
    </row>
    <row r="1041">
      <c r="G1041" s="301"/>
    </row>
    <row r="1042">
      <c r="G1042" s="301"/>
    </row>
  </sheetData>
  <mergeCells count="35">
    <mergeCell ref="B2:H2"/>
    <mergeCell ref="F3:G3"/>
    <mergeCell ref="K3:P3"/>
    <mergeCell ref="F4:G4"/>
    <mergeCell ref="F5:G5"/>
    <mergeCell ref="F6:G6"/>
    <mergeCell ref="F7:G7"/>
    <mergeCell ref="F8:G8"/>
    <mergeCell ref="B12:C12"/>
    <mergeCell ref="F12:H12"/>
    <mergeCell ref="F13:G13"/>
    <mergeCell ref="F14:G14"/>
    <mergeCell ref="F15:G15"/>
    <mergeCell ref="L17:U17"/>
    <mergeCell ref="L21:R21"/>
    <mergeCell ref="F16:G16"/>
    <mergeCell ref="A19:G19"/>
    <mergeCell ref="AB25:AJ25"/>
    <mergeCell ref="O27:P27"/>
    <mergeCell ref="B28:B29"/>
    <mergeCell ref="O28:P28"/>
    <mergeCell ref="L31:U31"/>
    <mergeCell ref="L47:M47"/>
    <mergeCell ref="L48:M48"/>
    <mergeCell ref="L49:M49"/>
    <mergeCell ref="L50:M50"/>
    <mergeCell ref="L51:M51"/>
    <mergeCell ref="O58:P58"/>
    <mergeCell ref="A33:E33"/>
    <mergeCell ref="A34:E34"/>
    <mergeCell ref="A35:E35"/>
    <mergeCell ref="B36:E36"/>
    <mergeCell ref="O39:P39"/>
    <mergeCell ref="L45:M45"/>
    <mergeCell ref="L46:M46"/>
  </mergeCells>
  <conditionalFormatting sqref="E21:E31">
    <cfRule type="cellIs" dxfId="0" priority="1" operator="equal">
      <formula>0</formula>
    </cfRule>
  </conditionalFormatting>
  <dataValidations>
    <dataValidation type="list" allowBlank="1" sqref="C7:C8 C21:C22">
      <formula1>Master!$C$5:$C$48</formula1>
    </dataValidation>
    <dataValidation type="list" allowBlank="1" sqref="C25">
      <formula1>Master!$C$76</formula1>
    </dataValidation>
    <dataValidation type="list" allowBlank="1" showErrorMessage="1" sqref="C10">
      <formula1>"Yes,No"</formula1>
    </dataValidation>
    <dataValidation type="list" allowBlank="1" sqref="C31">
      <formula1>Master!$L$7:$L$10</formula1>
    </dataValidation>
    <dataValidation type="list" allowBlank="1" sqref="C9 C23">
      <formula1>Master!$C$49:$C$62</formula1>
    </dataValidation>
    <dataValidation type="list" allowBlank="1" sqref="C28:C29">
      <formula1>Master!$C$111:$C$143</formula1>
    </dataValidation>
    <dataValidation type="list" allowBlank="1" sqref="C30">
      <formula1>"2.5%,5%"</formula1>
    </dataValidation>
    <dataValidation type="list" allowBlank="1" sqref="C27">
      <formula1>Master!$C$61:$C$74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0.0" ySplit="12.0" topLeftCell="K13" activePane="bottomRight" state="frozen"/>
      <selection activeCell="K1" sqref="K1" pane="topRight"/>
      <selection activeCell="A13" sqref="A13" pane="bottomLeft"/>
      <selection activeCell="K13" sqref="K13" pane="bottomRight"/>
    </sheetView>
  </sheetViews>
  <sheetFormatPr customHeight="1" defaultColWidth="12.63" defaultRowHeight="15.75"/>
  <cols>
    <col customWidth="1" min="1" max="1" width="6.38"/>
    <col customWidth="1" min="2" max="3" width="16.63"/>
    <col customWidth="1" min="4" max="4" width="7.5"/>
    <col customWidth="1" min="5" max="5" width="11.13"/>
    <col customWidth="1" min="6" max="6" width="11.0"/>
    <col customWidth="1" min="7" max="7" width="13.0"/>
    <col customWidth="1" min="8" max="8" width="10.13"/>
    <col customWidth="1" min="9" max="10" width="8.5"/>
    <col customWidth="1" min="11" max="11" width="11.38"/>
    <col customWidth="1" min="12" max="12" width="9.5"/>
    <col customWidth="1" min="13" max="13" width="5.75"/>
    <col customWidth="1" min="14" max="15" width="9.88"/>
    <col customWidth="1" min="16" max="16" width="9.5"/>
    <col customWidth="1" min="17" max="17" width="10.0"/>
    <col customWidth="1" min="18" max="18" width="10.88"/>
    <col customWidth="1" min="20" max="20" width="12.13"/>
  </cols>
  <sheetData>
    <row r="1" ht="24.75" customHeight="1">
      <c r="A1" s="253"/>
      <c r="B1" s="416"/>
      <c r="D1" s="260"/>
      <c r="F1" s="416"/>
      <c r="G1" s="41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</row>
    <row r="2" ht="24.75" customHeight="1">
      <c r="A2" s="253"/>
      <c r="B2" s="440" t="s">
        <v>235</v>
      </c>
      <c r="C2" s="441">
        <v>1.0</v>
      </c>
      <c r="D2" s="260"/>
      <c r="F2" s="442" t="s">
        <v>312</v>
      </c>
      <c r="G2" s="277"/>
      <c r="H2" s="441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</row>
    <row r="3" ht="24.75" customHeight="1">
      <c r="A3" s="253"/>
      <c r="B3" s="440" t="s">
        <v>238</v>
      </c>
      <c r="C3" s="441">
        <v>1.0</v>
      </c>
      <c r="D3" s="266" t="s">
        <v>216</v>
      </c>
      <c r="F3" s="442" t="s">
        <v>241</v>
      </c>
      <c r="G3" s="277"/>
      <c r="H3" s="441">
        <v>1.0</v>
      </c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5"/>
    </row>
    <row r="4" ht="24.75" customHeight="1">
      <c r="A4" s="253"/>
      <c r="B4" s="440" t="s">
        <v>313</v>
      </c>
      <c r="C4" s="441">
        <v>1.2</v>
      </c>
      <c r="D4" s="266" t="s">
        <v>216</v>
      </c>
      <c r="F4" s="442" t="s">
        <v>243</v>
      </c>
      <c r="G4" s="277"/>
      <c r="H4" s="441">
        <v>1.0</v>
      </c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</row>
    <row r="5" ht="24.75" customHeight="1">
      <c r="A5" s="253"/>
      <c r="B5" s="440" t="s">
        <v>240</v>
      </c>
      <c r="C5" s="441">
        <v>1.3</v>
      </c>
      <c r="D5" s="266" t="s">
        <v>216</v>
      </c>
      <c r="F5" s="442" t="s">
        <v>242</v>
      </c>
      <c r="G5" s="277"/>
      <c r="H5" s="441">
        <v>1.0</v>
      </c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  <c r="AJ5" s="255"/>
    </row>
    <row r="6" ht="24.75" customHeight="1">
      <c r="A6" s="260"/>
      <c r="B6" s="443" t="s">
        <v>314</v>
      </c>
      <c r="C6" s="444">
        <f>ROUNDUP((C2*C3*C4*10.764),0)</f>
        <v>13</v>
      </c>
      <c r="D6" s="270" t="s">
        <v>30</v>
      </c>
      <c r="F6" s="445">
        <v>6.0</v>
      </c>
      <c r="G6" s="445">
        <v>0.5</v>
      </c>
      <c r="H6" s="445">
        <v>0.6</v>
      </c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3"/>
      <c r="W6" s="273"/>
      <c r="X6" s="273"/>
      <c r="Y6" s="273"/>
      <c r="Z6" s="273"/>
      <c r="AA6" s="273"/>
      <c r="AB6" s="273"/>
      <c r="AC6" s="273"/>
      <c r="AD6" s="273"/>
      <c r="AE6" s="273"/>
      <c r="AF6" s="273"/>
      <c r="AG6" s="273"/>
      <c r="AH6" s="273"/>
      <c r="AI6" s="273"/>
      <c r="AJ6" s="273"/>
    </row>
    <row r="7" ht="15.75" customHeight="1">
      <c r="A7" s="260"/>
      <c r="B7" s="446"/>
      <c r="C7" s="446"/>
      <c r="E7" s="275"/>
      <c r="F7" s="275"/>
      <c r="G7" s="275"/>
      <c r="H7" s="275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3"/>
      <c r="W7" s="273"/>
      <c r="X7" s="273"/>
      <c r="Y7" s="273"/>
      <c r="Z7" s="273"/>
      <c r="AA7" s="273"/>
      <c r="AB7" s="273"/>
      <c r="AC7" s="273"/>
      <c r="AD7" s="273"/>
      <c r="AE7" s="273"/>
      <c r="AF7" s="273"/>
      <c r="AG7" s="273"/>
      <c r="AH7" s="273"/>
      <c r="AI7" s="273"/>
      <c r="AJ7" s="273"/>
    </row>
    <row r="8" ht="20.25" customHeight="1">
      <c r="A8" s="348" t="s">
        <v>245</v>
      </c>
      <c r="J8" s="348"/>
      <c r="K8" s="447"/>
      <c r="L8" s="296" t="s">
        <v>236</v>
      </c>
      <c r="M8" s="100"/>
      <c r="N8" s="100"/>
      <c r="O8" s="100"/>
      <c r="P8" s="100"/>
      <c r="Q8" s="100"/>
      <c r="R8" s="100"/>
      <c r="S8" s="100"/>
      <c r="T8" s="100"/>
      <c r="U8" s="98"/>
      <c r="V8" s="280"/>
      <c r="W8" s="280"/>
      <c r="X8" s="280"/>
      <c r="Y8" s="280"/>
      <c r="Z8" s="280"/>
      <c r="AA8" s="280"/>
      <c r="AB8" s="280"/>
      <c r="AC8" s="280"/>
      <c r="AD8" s="280"/>
      <c r="AE8" s="280"/>
      <c r="AF8" s="280"/>
      <c r="AG8" s="280"/>
      <c r="AH8" s="280"/>
      <c r="AI8" s="280"/>
      <c r="AJ8" s="280"/>
    </row>
    <row r="9" ht="18.0" customHeight="1">
      <c r="A9" s="275"/>
      <c r="I9" s="275"/>
      <c r="J9" s="275"/>
      <c r="K9" s="298"/>
      <c r="L9" s="298" t="s">
        <v>237</v>
      </c>
      <c r="M9" s="298" t="str">
        <f>upper(M12)</f>
        <v>NOS</v>
      </c>
      <c r="N9" s="298" t="s">
        <v>238</v>
      </c>
      <c r="O9" s="298" t="s">
        <v>239</v>
      </c>
      <c r="P9" s="298" t="s">
        <v>240</v>
      </c>
      <c r="Q9" s="299"/>
      <c r="R9" s="300" t="str">
        <f>upper(L18)</f>
        <v>SHELVES </v>
      </c>
      <c r="S9" s="300" t="s">
        <v>241</v>
      </c>
      <c r="T9" s="300" t="s">
        <v>242</v>
      </c>
      <c r="U9" s="300" t="s">
        <v>243</v>
      </c>
      <c r="V9" s="280"/>
      <c r="W9" s="280"/>
      <c r="X9" s="280"/>
      <c r="Y9" s="280"/>
      <c r="Z9" s="280"/>
      <c r="AA9" s="280"/>
      <c r="AB9" s="280"/>
      <c r="AC9" s="280"/>
      <c r="AD9" s="280"/>
      <c r="AE9" s="280"/>
      <c r="AF9" s="280"/>
      <c r="AG9" s="280"/>
      <c r="AH9" s="280"/>
      <c r="AI9" s="280"/>
      <c r="AJ9" s="280"/>
    </row>
    <row r="10" ht="24.75" customHeight="1">
      <c r="A10" s="302"/>
      <c r="B10" s="302"/>
      <c r="C10" s="302"/>
      <c r="D10" s="302"/>
      <c r="E10" s="302"/>
      <c r="F10" s="302"/>
      <c r="G10" s="302"/>
      <c r="H10" s="302"/>
      <c r="I10" s="302"/>
      <c r="J10" s="302"/>
      <c r="K10" s="303"/>
      <c r="L10" s="303">
        <f>C6</f>
        <v>13</v>
      </c>
      <c r="M10" s="303">
        <f>$C$2</f>
        <v>1</v>
      </c>
      <c r="N10" s="303">
        <f>C3</f>
        <v>1</v>
      </c>
      <c r="O10" s="303">
        <f>C4</f>
        <v>1.2</v>
      </c>
      <c r="P10" s="304">
        <f>C5</f>
        <v>1.3</v>
      </c>
      <c r="Q10" s="305" t="s">
        <v>244</v>
      </c>
      <c r="R10" s="306" t="str">
        <f>H2</f>
        <v/>
      </c>
      <c r="S10" s="306">
        <f>H3</f>
        <v>1</v>
      </c>
      <c r="T10" s="307">
        <f>H5</f>
        <v>1</v>
      </c>
      <c r="U10" s="306">
        <f>H4</f>
        <v>1</v>
      </c>
      <c r="V10" s="280"/>
      <c r="W10" s="280"/>
      <c r="X10" s="280"/>
      <c r="Y10" s="280"/>
      <c r="Z10" s="280"/>
      <c r="AA10" s="280"/>
      <c r="AB10" s="280"/>
      <c r="AC10" s="280"/>
      <c r="AD10" s="280"/>
      <c r="AE10" s="280"/>
      <c r="AF10" s="280"/>
      <c r="AG10" s="280"/>
      <c r="AH10" s="280"/>
      <c r="AI10" s="280"/>
      <c r="AJ10" s="280"/>
    </row>
    <row r="11">
      <c r="A11" s="309"/>
      <c r="B11" s="309"/>
      <c r="C11" s="309"/>
      <c r="D11" s="309"/>
      <c r="E11" s="309"/>
      <c r="F11" s="309"/>
      <c r="G11" s="309"/>
      <c r="H11" s="309"/>
      <c r="I11" s="309"/>
      <c r="J11" s="309"/>
      <c r="K11" s="87"/>
      <c r="L11" s="87"/>
      <c r="M11" s="87"/>
      <c r="N11" s="87"/>
      <c r="O11" s="87"/>
      <c r="P11" s="87"/>
      <c r="Q11" s="87"/>
      <c r="R11" s="87"/>
      <c r="S11" s="448">
        <f t="shared" ref="S11:U11" si="1">F6</f>
        <v>6</v>
      </c>
      <c r="T11" s="448">
        <f t="shared" si="1"/>
        <v>0.5</v>
      </c>
      <c r="U11" s="449">
        <f t="shared" si="1"/>
        <v>0.6</v>
      </c>
    </row>
    <row r="12">
      <c r="A12" s="312" t="s">
        <v>5</v>
      </c>
      <c r="B12" s="313" t="s">
        <v>246</v>
      </c>
      <c r="C12" s="313" t="s">
        <v>247</v>
      </c>
      <c r="D12" s="314" t="s">
        <v>248</v>
      </c>
      <c r="E12" s="313" t="s">
        <v>249</v>
      </c>
      <c r="F12" s="314" t="s">
        <v>250</v>
      </c>
      <c r="G12" s="450" t="s">
        <v>251</v>
      </c>
      <c r="K12" s="87"/>
      <c r="L12" s="87"/>
      <c r="M12" s="318" t="s">
        <v>156</v>
      </c>
      <c r="N12" s="318" t="s">
        <v>252</v>
      </c>
      <c r="O12" s="319" t="s">
        <v>253</v>
      </c>
      <c r="P12" s="319" t="s">
        <v>254</v>
      </c>
      <c r="Q12" s="320" t="s">
        <v>255</v>
      </c>
      <c r="R12" s="320"/>
      <c r="T12" s="425"/>
      <c r="U12" s="322"/>
    </row>
    <row r="13">
      <c r="A13" s="323">
        <v>1.0</v>
      </c>
      <c r="B13" s="323" t="s">
        <v>259</v>
      </c>
      <c r="C13" s="323" t="s">
        <v>315</v>
      </c>
      <c r="D13" s="325" t="s">
        <v>258</v>
      </c>
      <c r="E13" s="344" t="str">
        <f t="shared" ref="E13:E15" si="2">roundup(#REF!/32,0)</f>
        <v>#REF!</v>
      </c>
      <c r="F13" s="327" t="str">
        <f>vlookup(C13,Master!$C$5:$H$110,6,0)</f>
        <v>#N/A</v>
      </c>
      <c r="G13" s="451" t="str">
        <f t="shared" ref="G13:G22" si="3">F13*E13</f>
        <v>#N/A</v>
      </c>
      <c r="K13" s="331"/>
      <c r="L13" s="331" t="s">
        <v>259</v>
      </c>
      <c r="S13" s="332"/>
      <c r="T13" s="333"/>
      <c r="U13" s="333"/>
    </row>
    <row r="14">
      <c r="A14" s="432">
        <v>2.0</v>
      </c>
      <c r="B14" s="323" t="s">
        <v>282</v>
      </c>
      <c r="C14" s="323" t="s">
        <v>316</v>
      </c>
      <c r="D14" s="325" t="s">
        <v>258</v>
      </c>
      <c r="E14" s="355" t="str">
        <f t="shared" si="2"/>
        <v>#REF!</v>
      </c>
      <c r="F14" s="327" t="str">
        <f>vlookup(C14,Master!$C$5:$H$110,6,0)</f>
        <v>#N/A</v>
      </c>
      <c r="G14" s="451" t="str">
        <f t="shared" si="3"/>
        <v>#N/A</v>
      </c>
      <c r="K14" s="337"/>
      <c r="L14" s="337" t="s">
        <v>285</v>
      </c>
      <c r="M14" s="255">
        <f t="shared" ref="M14:M16" si="4">$M$10*2</f>
        <v>2</v>
      </c>
      <c r="N14" s="338">
        <f>$N$10</f>
        <v>1</v>
      </c>
      <c r="O14" s="339">
        <f>$O$10</f>
        <v>1.2</v>
      </c>
      <c r="P14" s="340">
        <v>0.0</v>
      </c>
      <c r="Q14" s="341">
        <f>M14*N14*O14</f>
        <v>2.4</v>
      </c>
      <c r="R14" s="341"/>
      <c r="S14" s="332"/>
      <c r="T14" s="452" t="s">
        <v>317</v>
      </c>
      <c r="U14" s="453">
        <f>Q24*1.1</f>
        <v>235.387152</v>
      </c>
    </row>
    <row r="15">
      <c r="A15" s="432">
        <v>3.0</v>
      </c>
      <c r="B15" s="323" t="s">
        <v>294</v>
      </c>
      <c r="C15" s="323" t="s">
        <v>318</v>
      </c>
      <c r="D15" s="325" t="s">
        <v>258</v>
      </c>
      <c r="E15" s="355" t="str">
        <f t="shared" si="2"/>
        <v>#REF!</v>
      </c>
      <c r="F15" s="327">
        <f>vlookup(C15,Master!$C$5:$H$110,6,0)</f>
        <v>1500</v>
      </c>
      <c r="G15" s="451" t="str">
        <f t="shared" si="3"/>
        <v>#REF!</v>
      </c>
      <c r="K15" s="87"/>
      <c r="L15" s="87" t="s">
        <v>262</v>
      </c>
      <c r="M15" s="255">
        <f t="shared" si="4"/>
        <v>2</v>
      </c>
      <c r="N15" s="345">
        <v>0.0</v>
      </c>
      <c r="O15" s="339">
        <f>O10</f>
        <v>1.2</v>
      </c>
      <c r="P15" s="339">
        <f t="shared" ref="P15:P18" si="5">$P$10</f>
        <v>1.3</v>
      </c>
      <c r="Q15" s="341">
        <f>M15*O15*P15</f>
        <v>3.12</v>
      </c>
      <c r="R15" s="341"/>
      <c r="S15" s="332"/>
      <c r="T15" s="452" t="s">
        <v>319</v>
      </c>
      <c r="U15" s="453">
        <f>Q38*1.1</f>
        <v>339.109056</v>
      </c>
    </row>
    <row r="16">
      <c r="A16" s="323">
        <v>4.0</v>
      </c>
      <c r="B16" s="325" t="s">
        <v>152</v>
      </c>
      <c r="C16" s="325" t="s">
        <v>152</v>
      </c>
      <c r="D16" s="325" t="s">
        <v>269</v>
      </c>
      <c r="E16" s="355" t="str">
        <f>E13</f>
        <v>#REF!</v>
      </c>
      <c r="F16" s="327">
        <f>vlookup(C16,Master!$C$5:$H$110,6,0)</f>
        <v>245</v>
      </c>
      <c r="G16" s="451" t="str">
        <f t="shared" si="3"/>
        <v>#REF!</v>
      </c>
      <c r="K16" s="87"/>
      <c r="L16" s="87" t="s">
        <v>264</v>
      </c>
      <c r="M16" s="255">
        <f t="shared" si="4"/>
        <v>2</v>
      </c>
      <c r="N16" s="338">
        <f>$N$10</f>
        <v>1</v>
      </c>
      <c r="O16" s="340">
        <v>0.0</v>
      </c>
      <c r="P16" s="339">
        <f t="shared" si="5"/>
        <v>1.3</v>
      </c>
      <c r="Q16" s="341">
        <f>M16*N16*P16</f>
        <v>2.6</v>
      </c>
      <c r="R16" s="341"/>
      <c r="S16" s="332"/>
      <c r="T16" s="452" t="s">
        <v>320</v>
      </c>
      <c r="U16" s="453">
        <f>Q50*1.1</f>
        <v>131.665248</v>
      </c>
    </row>
    <row r="17">
      <c r="A17" s="432">
        <v>5.0</v>
      </c>
      <c r="B17" s="325" t="s">
        <v>271</v>
      </c>
      <c r="C17" s="325" t="s">
        <v>155</v>
      </c>
      <c r="D17" s="325" t="s">
        <v>258</v>
      </c>
      <c r="E17" s="355" t="str">
        <f t="shared" ref="E17:E19" si="6">#REF!</f>
        <v>#REF!</v>
      </c>
      <c r="F17" s="327">
        <f>vlookup(C17,Master!$C$5:$H$110,6,0)</f>
        <v>200</v>
      </c>
      <c r="G17" s="451" t="str">
        <f t="shared" si="3"/>
        <v>#REF!</v>
      </c>
      <c r="K17" s="87"/>
      <c r="L17" s="87" t="s">
        <v>265</v>
      </c>
      <c r="M17" s="255">
        <f>$S$10</f>
        <v>1</v>
      </c>
      <c r="N17" s="345">
        <v>0.0</v>
      </c>
      <c r="O17" s="339">
        <f>$O$10</f>
        <v>1.2</v>
      </c>
      <c r="P17" s="339">
        <f t="shared" si="5"/>
        <v>1.3</v>
      </c>
      <c r="Q17" s="341">
        <f>M17*O17*P17</f>
        <v>1.56</v>
      </c>
      <c r="R17" s="454"/>
      <c r="S17" s="368"/>
      <c r="T17" s="333"/>
      <c r="U17" s="333"/>
      <c r="AB17" s="348" t="s">
        <v>245</v>
      </c>
    </row>
    <row r="18">
      <c r="A18" s="432">
        <v>6.0</v>
      </c>
      <c r="B18" s="323" t="s">
        <v>158</v>
      </c>
      <c r="C18" s="325" t="s">
        <v>161</v>
      </c>
      <c r="D18" s="325" t="s">
        <v>273</v>
      </c>
      <c r="E18" s="355" t="str">
        <f t="shared" si="6"/>
        <v>#REF!</v>
      </c>
      <c r="F18" s="327">
        <f>vlookup(C18,Master!$C$5:$H$110,6,0)</f>
        <v>180</v>
      </c>
      <c r="G18" s="451" t="str">
        <f t="shared" si="3"/>
        <v>#REF!</v>
      </c>
      <c r="K18" s="337"/>
      <c r="L18" s="337" t="s">
        <v>267</v>
      </c>
      <c r="M18" s="255" t="str">
        <f>$R$10</f>
        <v/>
      </c>
      <c r="N18" s="338">
        <f>$N$10</f>
        <v>1</v>
      </c>
      <c r="O18" s="340">
        <v>0.0</v>
      </c>
      <c r="P18" s="339">
        <f t="shared" si="5"/>
        <v>1.3</v>
      </c>
      <c r="Q18" s="341">
        <f>M18*N18*P18</f>
        <v>0</v>
      </c>
      <c r="R18" s="454"/>
      <c r="S18" s="368"/>
      <c r="T18" s="333"/>
      <c r="U18" s="333"/>
    </row>
    <row r="19">
      <c r="A19" s="323">
        <v>7.0</v>
      </c>
      <c r="B19" s="323" t="s">
        <v>164</v>
      </c>
      <c r="C19" s="325" t="s">
        <v>321</v>
      </c>
      <c r="D19" s="325" t="s">
        <v>273</v>
      </c>
      <c r="E19" s="355" t="str">
        <f t="shared" si="6"/>
        <v>#REF!</v>
      </c>
      <c r="F19" s="327" t="str">
        <f>vlookup(C19,Master!$C$5:$H$110,6,0)</f>
        <v>#N/A</v>
      </c>
      <c r="G19" s="451" t="str">
        <f t="shared" si="3"/>
        <v>#N/A</v>
      </c>
      <c r="K19" s="350"/>
      <c r="L19" s="350" t="s">
        <v>270</v>
      </c>
      <c r="M19" s="351">
        <f>T10</f>
        <v>1</v>
      </c>
      <c r="N19" s="352">
        <f t="shared" ref="N19:P19" si="7">S11</f>
        <v>6</v>
      </c>
      <c r="O19" s="352">
        <f t="shared" si="7"/>
        <v>0.5</v>
      </c>
      <c r="P19" s="352">
        <f t="shared" si="7"/>
        <v>0.6</v>
      </c>
      <c r="Q19" s="341"/>
      <c r="R19" s="454"/>
      <c r="S19" s="368"/>
      <c r="T19" s="333"/>
      <c r="U19" s="333"/>
    </row>
    <row r="20">
      <c r="A20" s="432">
        <v>8.0</v>
      </c>
      <c r="B20" s="323" t="s">
        <v>276</v>
      </c>
      <c r="C20" s="325" t="s">
        <v>163</v>
      </c>
      <c r="D20" s="325" t="s">
        <v>258</v>
      </c>
      <c r="E20" s="357">
        <v>0.0</v>
      </c>
      <c r="F20" s="327">
        <f>vlookup(C20,Master!$C$5:$H$110,6,0)</f>
        <v>174</v>
      </c>
      <c r="G20" s="451">
        <f t="shared" si="3"/>
        <v>0</v>
      </c>
      <c r="K20" s="87"/>
      <c r="L20" s="87" t="s">
        <v>272</v>
      </c>
      <c r="M20" s="255">
        <f>T10</f>
        <v>1</v>
      </c>
      <c r="N20" s="338">
        <f>$N$19</f>
        <v>6</v>
      </c>
      <c r="O20" s="345">
        <v>0.0</v>
      </c>
      <c r="P20" s="338">
        <f t="shared" ref="P20:P21" si="8">$P$19</f>
        <v>0.6</v>
      </c>
      <c r="Q20" s="341">
        <f>M20*N20*P20</f>
        <v>3.6</v>
      </c>
      <c r="R20" s="332"/>
      <c r="S20" s="332"/>
      <c r="T20" s="333"/>
      <c r="U20" s="333"/>
    </row>
    <row r="21">
      <c r="A21" s="432">
        <v>9.0</v>
      </c>
      <c r="B21" s="360" t="s">
        <v>154</v>
      </c>
      <c r="C21" s="360" t="s">
        <v>154</v>
      </c>
      <c r="D21" s="325" t="s">
        <v>269</v>
      </c>
      <c r="E21" s="361" t="str">
        <f>#REF!*0.15</f>
        <v>#REF!</v>
      </c>
      <c r="F21" s="327">
        <f>vlookup(C21,Master!$C$5:$H$110,6,0)</f>
        <v>80</v>
      </c>
      <c r="G21" s="451" t="str">
        <f t="shared" si="3"/>
        <v>#REF!</v>
      </c>
      <c r="K21" s="87"/>
      <c r="L21" s="87" t="s">
        <v>262</v>
      </c>
      <c r="M21" s="255">
        <f>T10*2</f>
        <v>2</v>
      </c>
      <c r="N21" s="345">
        <v>0.0</v>
      </c>
      <c r="O21" s="338">
        <f t="shared" ref="O21:O22" si="9">$O$19</f>
        <v>0.5</v>
      </c>
      <c r="P21" s="338">
        <f t="shared" si="8"/>
        <v>0.6</v>
      </c>
      <c r="Q21" s="341">
        <f>M21*O21*P21</f>
        <v>0.6</v>
      </c>
      <c r="R21" s="332"/>
      <c r="S21" s="332"/>
      <c r="T21" s="333"/>
      <c r="U21" s="333"/>
    </row>
    <row r="22">
      <c r="A22" s="323">
        <v>10.0</v>
      </c>
      <c r="B22" s="323" t="s">
        <v>279</v>
      </c>
      <c r="C22" s="323" t="s">
        <v>322</v>
      </c>
      <c r="D22" s="325" t="s">
        <v>30</v>
      </c>
      <c r="E22" s="357">
        <v>0.0</v>
      </c>
      <c r="F22" s="327" t="str">
        <f>vlookup(C22,Master!$C$5:$H$110,6,0)</f>
        <v>#N/A</v>
      </c>
      <c r="G22" s="451" t="str">
        <f t="shared" si="3"/>
        <v>#N/A</v>
      </c>
      <c r="K22" s="87"/>
      <c r="L22" s="87" t="s">
        <v>323</v>
      </c>
      <c r="M22" s="255">
        <f>T10*2</f>
        <v>2</v>
      </c>
      <c r="N22" s="338">
        <f>$N$19</f>
        <v>6</v>
      </c>
      <c r="O22" s="338">
        <f t="shared" si="9"/>
        <v>0.5</v>
      </c>
      <c r="P22" s="345">
        <v>0.0</v>
      </c>
      <c r="Q22" s="341">
        <f>M22*N22*O22</f>
        <v>6</v>
      </c>
      <c r="R22" s="332"/>
      <c r="S22" s="332"/>
      <c r="T22" s="333"/>
      <c r="U22" s="333"/>
    </row>
    <row r="23">
      <c r="A23" s="432">
        <v>11.0</v>
      </c>
      <c r="B23" s="364" t="s">
        <v>280</v>
      </c>
      <c r="C23" s="323" t="s">
        <v>202</v>
      </c>
      <c r="D23" s="325" t="s">
        <v>30</v>
      </c>
      <c r="E23" s="357">
        <v>0.0</v>
      </c>
      <c r="F23" s="327" t="str">
        <f t="shared" ref="F23:F25" si="10">vlookup(C23,#REF!,6)</f>
        <v>#REF!</v>
      </c>
      <c r="G23" s="451">
        <f>(ifs(E23=0,0,E23&gt;=1,(E23*F23)))</f>
        <v>0</v>
      </c>
      <c r="K23" s="87"/>
      <c r="L23" s="87"/>
      <c r="M23" s="255"/>
      <c r="N23" s="87"/>
      <c r="P23" s="387"/>
      <c r="Q23" s="388">
        <f>SUM(Q14:Q22)</f>
        <v>19.88</v>
      </c>
      <c r="R23" s="389" t="s">
        <v>292</v>
      </c>
      <c r="S23" s="332"/>
      <c r="T23" s="333"/>
      <c r="U23" s="333"/>
    </row>
    <row r="24">
      <c r="A24" s="432">
        <v>12.0</v>
      </c>
      <c r="B24" s="366"/>
      <c r="C24" s="323" t="s">
        <v>206</v>
      </c>
      <c r="D24" s="325" t="s">
        <v>30</v>
      </c>
      <c r="E24" s="357">
        <v>0.0</v>
      </c>
      <c r="F24" s="327" t="str">
        <f t="shared" si="10"/>
        <v>#REF!</v>
      </c>
      <c r="G24" s="451" t="str">
        <f t="shared" ref="G24:G27" si="11">F24*E24</f>
        <v>#REF!</v>
      </c>
      <c r="K24" s="87"/>
      <c r="L24" s="87"/>
      <c r="M24" s="255"/>
      <c r="N24" s="87"/>
      <c r="O24" s="358" t="s">
        <v>293</v>
      </c>
      <c r="Q24" s="362">
        <f>Q23*10.764</f>
        <v>213.98832</v>
      </c>
      <c r="R24" s="390" t="s">
        <v>30</v>
      </c>
      <c r="S24" s="332"/>
      <c r="T24" s="333"/>
      <c r="U24" s="333"/>
    </row>
    <row r="25">
      <c r="A25" s="323">
        <v>13.0</v>
      </c>
      <c r="B25" s="446"/>
      <c r="C25" s="323" t="s">
        <v>324</v>
      </c>
      <c r="D25" s="325" t="s">
        <v>30</v>
      </c>
      <c r="E25" s="357">
        <v>0.0</v>
      </c>
      <c r="F25" s="327" t="str">
        <f t="shared" si="10"/>
        <v>#REF!</v>
      </c>
      <c r="G25" s="451" t="str">
        <f t="shared" si="11"/>
        <v>#REF!</v>
      </c>
      <c r="K25" s="363"/>
      <c r="L25" s="363"/>
      <c r="M25" s="363"/>
      <c r="N25" s="363"/>
      <c r="O25" s="363"/>
      <c r="P25" s="363"/>
      <c r="Q25" s="363"/>
      <c r="R25" s="363"/>
      <c r="S25" s="363"/>
      <c r="T25" s="363"/>
      <c r="U25" s="363"/>
    </row>
    <row r="26">
      <c r="A26" s="432">
        <v>14.0</v>
      </c>
      <c r="B26" s="369" t="s">
        <v>283</v>
      </c>
      <c r="C26" s="370">
        <v>0.025</v>
      </c>
      <c r="D26" s="325" t="s">
        <v>284</v>
      </c>
      <c r="E26" s="357">
        <v>1.0</v>
      </c>
      <c r="F26" s="361" t="str">
        <f>(sum(G13:G15)*C26)</f>
        <v>#N/A</v>
      </c>
      <c r="G26" s="451" t="str">
        <f t="shared" si="11"/>
        <v>#N/A</v>
      </c>
      <c r="K26" s="363"/>
      <c r="L26" s="363" t="s">
        <v>281</v>
      </c>
      <c r="U26" s="365"/>
    </row>
    <row r="27">
      <c r="A27" s="323">
        <v>15.0</v>
      </c>
      <c r="B27" s="323" t="s">
        <v>286</v>
      </c>
      <c r="C27" s="323" t="s">
        <v>309</v>
      </c>
      <c r="D27" s="325" t="s">
        <v>30</v>
      </c>
      <c r="E27" s="361" t="str">
        <f>#REF!</f>
        <v>#REF!</v>
      </c>
      <c r="F27" s="327" t="str">
        <f>vlookup(C27,#REF!,5,0)</f>
        <v>#REF!</v>
      </c>
      <c r="G27" s="451" t="str">
        <f t="shared" si="11"/>
        <v>#REF!</v>
      </c>
      <c r="K27" s="367"/>
      <c r="L27" s="367" t="s">
        <v>282</v>
      </c>
      <c r="M27" s="87"/>
      <c r="N27" s="87"/>
      <c r="O27" s="368"/>
      <c r="P27" s="368"/>
      <c r="Q27" s="368"/>
      <c r="R27" s="368"/>
      <c r="S27" s="332"/>
      <c r="T27" s="322"/>
      <c r="U27" s="322"/>
    </row>
    <row r="28">
      <c r="A28" s="323">
        <v>16.0</v>
      </c>
      <c r="B28" s="455" t="s">
        <v>287</v>
      </c>
      <c r="C28" s="456"/>
      <c r="D28" s="456"/>
      <c r="E28" s="456"/>
      <c r="F28" s="435">
        <v>0.05</v>
      </c>
      <c r="G28" s="451" t="str">
        <f>SUM(G13:G27)*F28</f>
        <v>#N/A</v>
      </c>
      <c r="K28" s="337"/>
      <c r="L28" s="337" t="s">
        <v>285</v>
      </c>
      <c r="M28" s="255">
        <f t="shared" ref="M28:M30" si="12">$M$10*2</f>
        <v>2</v>
      </c>
      <c r="N28" s="338">
        <f>$N$10</f>
        <v>1</v>
      </c>
      <c r="O28" s="339">
        <f t="shared" ref="O28:O29" si="13">$O$10</f>
        <v>1.2</v>
      </c>
      <c r="P28" s="340">
        <v>0.0</v>
      </c>
      <c r="Q28" s="341">
        <f>M28*N28*O28</f>
        <v>2.4</v>
      </c>
      <c r="R28" s="368"/>
      <c r="S28" s="332"/>
      <c r="T28" s="322"/>
      <c r="U28" s="322"/>
      <c r="V28" s="322"/>
    </row>
    <row r="29">
      <c r="A29" s="457"/>
      <c r="B29" s="458" t="s">
        <v>288</v>
      </c>
      <c r="C29" s="276"/>
      <c r="D29" s="276"/>
      <c r="E29" s="277"/>
      <c r="F29" s="459"/>
      <c r="G29" s="460" t="str">
        <f>SUM(G13:G28)</f>
        <v>#N/A</v>
      </c>
      <c r="H29" s="461" t="str">
        <f t="shared" ref="H29:H32" si="14">G29/$L$10</f>
        <v>#N/A</v>
      </c>
      <c r="I29" s="462" t="s">
        <v>289</v>
      </c>
      <c r="J29" s="377"/>
      <c r="K29" s="87"/>
      <c r="L29" s="87" t="s">
        <v>262</v>
      </c>
      <c r="M29" s="255">
        <f t="shared" si="12"/>
        <v>2</v>
      </c>
      <c r="N29" s="345">
        <v>0.0</v>
      </c>
      <c r="O29" s="339">
        <f t="shared" si="13"/>
        <v>1.2</v>
      </c>
      <c r="P29" s="339">
        <f t="shared" ref="P29:P32" si="15">$P$10</f>
        <v>1.3</v>
      </c>
      <c r="Q29" s="341">
        <f>M29*O29*P29</f>
        <v>3.12</v>
      </c>
      <c r="R29" s="368"/>
      <c r="S29" s="332"/>
      <c r="T29" s="322"/>
      <c r="U29" s="322"/>
      <c r="V29" s="322"/>
    </row>
    <row r="30">
      <c r="A30" s="463"/>
      <c r="B30" s="464" t="s">
        <v>325</v>
      </c>
      <c r="C30" s="465"/>
      <c r="D30" s="465"/>
      <c r="E30" s="466"/>
      <c r="F30" s="467">
        <v>0.5</v>
      </c>
      <c r="G30" s="468" t="str">
        <f>ROUNDUP(G29/(1-F30),0)</f>
        <v>#N/A</v>
      </c>
      <c r="H30" s="469" t="str">
        <f t="shared" si="14"/>
        <v>#N/A</v>
      </c>
      <c r="I30" s="470" t="s">
        <v>289</v>
      </c>
      <c r="J30" s="377"/>
      <c r="K30" s="87"/>
      <c r="L30" s="87" t="s">
        <v>264</v>
      </c>
      <c r="M30" s="255">
        <f t="shared" si="12"/>
        <v>2</v>
      </c>
      <c r="N30" s="338">
        <f>$N$10</f>
        <v>1</v>
      </c>
      <c r="O30" s="340">
        <v>0.0</v>
      </c>
      <c r="P30" s="339">
        <f t="shared" si="15"/>
        <v>1.3</v>
      </c>
      <c r="Q30" s="341">
        <f>M30*N30*P30</f>
        <v>2.6</v>
      </c>
      <c r="R30" s="368"/>
      <c r="S30" s="332"/>
      <c r="T30" s="322"/>
      <c r="U30" s="322"/>
      <c r="V30" s="322"/>
    </row>
    <row r="31">
      <c r="A31" s="337"/>
      <c r="B31" s="436" t="s">
        <v>326</v>
      </c>
      <c r="F31" s="437">
        <v>0.18</v>
      </c>
      <c r="G31" s="471" t="str">
        <f t="shared" ref="G31:G32" si="16">ROUNDUP(G30*(1+F31),0)</f>
        <v>#N/A</v>
      </c>
      <c r="H31" s="438" t="str">
        <f t="shared" si="14"/>
        <v>#N/A</v>
      </c>
      <c r="I31" s="384" t="s">
        <v>289</v>
      </c>
      <c r="J31" s="384"/>
      <c r="K31" s="87"/>
      <c r="L31" s="87" t="s">
        <v>265</v>
      </c>
      <c r="M31" s="255">
        <f>S10*2</f>
        <v>2</v>
      </c>
      <c r="N31" s="345">
        <v>0.0</v>
      </c>
      <c r="O31" s="339">
        <f>$O$10</f>
        <v>1.2</v>
      </c>
      <c r="P31" s="339">
        <f t="shared" si="15"/>
        <v>1.3</v>
      </c>
      <c r="Q31" s="341">
        <f>M31*O31*P31</f>
        <v>3.12</v>
      </c>
      <c r="R31" s="368"/>
      <c r="S31" s="332"/>
      <c r="T31" s="322"/>
      <c r="U31" s="322"/>
      <c r="V31" s="322"/>
    </row>
    <row r="32">
      <c r="A32" s="87"/>
      <c r="B32" s="436" t="s">
        <v>327</v>
      </c>
      <c r="F32" s="437">
        <v>0.08</v>
      </c>
      <c r="G32" s="471" t="str">
        <f t="shared" si="16"/>
        <v>#N/A</v>
      </c>
      <c r="H32" s="438" t="str">
        <f t="shared" si="14"/>
        <v>#N/A</v>
      </c>
      <c r="I32" s="384" t="s">
        <v>289</v>
      </c>
      <c r="J32" s="384"/>
      <c r="K32" s="337"/>
      <c r="L32" s="337" t="s">
        <v>267</v>
      </c>
      <c r="M32" s="255">
        <f>R10*2</f>
        <v>0</v>
      </c>
      <c r="N32" s="338">
        <f>$N$10</f>
        <v>1</v>
      </c>
      <c r="O32" s="340">
        <v>0.0</v>
      </c>
      <c r="P32" s="339">
        <f t="shared" si="15"/>
        <v>1.3</v>
      </c>
      <c r="Q32" s="341">
        <f>M32*N32*P32</f>
        <v>0</v>
      </c>
      <c r="R32" s="368"/>
      <c r="S32" s="332"/>
      <c r="T32" s="322"/>
      <c r="U32" s="322"/>
      <c r="V32" s="322"/>
    </row>
    <row r="33">
      <c r="K33" s="350"/>
      <c r="L33" s="350" t="s">
        <v>270</v>
      </c>
      <c r="M33" s="351">
        <f>T10</f>
        <v>1</v>
      </c>
      <c r="N33" s="352">
        <f>$S$11</f>
        <v>6</v>
      </c>
      <c r="O33" s="352">
        <f>$T$11</f>
        <v>0.5</v>
      </c>
      <c r="P33" s="352">
        <f>$U$11</f>
        <v>0.6</v>
      </c>
      <c r="Q33" s="341"/>
      <c r="R33" s="368"/>
      <c r="S33" s="332"/>
      <c r="T33" s="322"/>
      <c r="U33" s="322"/>
      <c r="V33" s="322"/>
    </row>
    <row r="34">
      <c r="K34" s="87"/>
      <c r="L34" s="87" t="s">
        <v>272</v>
      </c>
      <c r="M34" s="255">
        <f t="shared" ref="M34:M35" si="17">M20*2</f>
        <v>2</v>
      </c>
      <c r="N34" s="338">
        <f>$N$19</f>
        <v>6</v>
      </c>
      <c r="O34" s="345">
        <v>0.0</v>
      </c>
      <c r="P34" s="338">
        <f t="shared" ref="P34:P35" si="18">$P$19</f>
        <v>0.6</v>
      </c>
      <c r="Q34" s="341">
        <f>M34*N34*P34</f>
        <v>7.2</v>
      </c>
      <c r="R34" s="368"/>
      <c r="S34" s="332"/>
      <c r="T34" s="322"/>
      <c r="U34" s="322"/>
    </row>
    <row r="35">
      <c r="A35" s="87"/>
      <c r="B35" s="87"/>
      <c r="C35" s="87"/>
      <c r="D35" s="87"/>
      <c r="K35" s="87"/>
      <c r="L35" s="87" t="s">
        <v>262</v>
      </c>
      <c r="M35" s="255">
        <f t="shared" si="17"/>
        <v>4</v>
      </c>
      <c r="N35" s="345">
        <v>0.0</v>
      </c>
      <c r="O35" s="338">
        <f t="shared" ref="O35:O36" si="19">$O$19</f>
        <v>0.5</v>
      </c>
      <c r="P35" s="338">
        <f t="shared" si="18"/>
        <v>0.6</v>
      </c>
      <c r="Q35" s="341">
        <f>M35*O35*P35</f>
        <v>1.2</v>
      </c>
      <c r="R35" s="368"/>
      <c r="S35" s="332"/>
      <c r="T35" s="322"/>
      <c r="U35" s="322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 t="s">
        <v>323</v>
      </c>
      <c r="M36" s="255">
        <f>T10*3</f>
        <v>3</v>
      </c>
      <c r="N36" s="338">
        <f>$N$19</f>
        <v>6</v>
      </c>
      <c r="O36" s="338">
        <f t="shared" si="19"/>
        <v>0.5</v>
      </c>
      <c r="P36" s="345">
        <v>0.0</v>
      </c>
      <c r="Q36" s="341">
        <f>M36*N36*O36</f>
        <v>9</v>
      </c>
      <c r="R36" s="368"/>
      <c r="S36" s="332"/>
      <c r="T36" s="322"/>
      <c r="U36" s="322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P37" s="387"/>
      <c r="Q37" s="388">
        <f>SUM(Q28:Q36)</f>
        <v>28.64</v>
      </c>
      <c r="R37" s="389" t="s">
        <v>292</v>
      </c>
      <c r="S37" s="332"/>
      <c r="T37" s="322"/>
      <c r="U37" s="322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358" t="s">
        <v>293</v>
      </c>
      <c r="Q38" s="362">
        <f>Q37*10.764</f>
        <v>308.28096</v>
      </c>
      <c r="R38" s="390" t="s">
        <v>30</v>
      </c>
      <c r="S38" s="332"/>
      <c r="T38" s="322"/>
      <c r="U38" s="322"/>
    </row>
    <row r="39">
      <c r="A39" s="367"/>
      <c r="B39" s="367"/>
      <c r="C39" s="367"/>
      <c r="D39" s="367"/>
      <c r="E39" s="367"/>
      <c r="F39" s="367"/>
      <c r="G39" s="367"/>
      <c r="H39" s="367"/>
      <c r="I39" s="367"/>
      <c r="J39" s="367"/>
      <c r="K39" s="367"/>
      <c r="L39" s="367" t="s">
        <v>294</v>
      </c>
      <c r="M39" s="87"/>
      <c r="N39" s="87"/>
      <c r="O39" s="368"/>
      <c r="P39" s="368"/>
      <c r="Q39" s="368"/>
      <c r="R39" s="368"/>
      <c r="S39" s="332"/>
      <c r="T39" s="322"/>
      <c r="U39" s="322"/>
    </row>
    <row r="40">
      <c r="A40" s="337"/>
      <c r="B40" s="337"/>
      <c r="C40" s="337"/>
      <c r="D40" s="337"/>
      <c r="E40" s="337"/>
      <c r="F40" s="337"/>
      <c r="G40" s="337"/>
      <c r="H40" s="337"/>
      <c r="I40" s="337"/>
      <c r="J40" s="337"/>
      <c r="K40" s="337"/>
      <c r="L40" s="337" t="s">
        <v>285</v>
      </c>
      <c r="M40" s="255">
        <f t="shared" ref="M40:M42" si="20">$M$10*2</f>
        <v>2</v>
      </c>
      <c r="N40" s="338">
        <f>$N$10</f>
        <v>1</v>
      </c>
      <c r="O40" s="339">
        <f t="shared" ref="O40:O41" si="21">$O$10</f>
        <v>1.2</v>
      </c>
      <c r="P40" s="340">
        <v>0.0</v>
      </c>
      <c r="Q40" s="341">
        <f>M40*N40*O40</f>
        <v>2.4</v>
      </c>
      <c r="R40" s="368"/>
      <c r="S40" s="332"/>
      <c r="T40" s="322"/>
      <c r="U40" s="322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 t="s">
        <v>262</v>
      </c>
      <c r="M41" s="255">
        <f t="shared" si="20"/>
        <v>2</v>
      </c>
      <c r="N41" s="345">
        <v>0.0</v>
      </c>
      <c r="O41" s="339">
        <f t="shared" si="21"/>
        <v>1.2</v>
      </c>
      <c r="P41" s="339">
        <f t="shared" ref="P41:P44" si="22">$P$10</f>
        <v>1.3</v>
      </c>
      <c r="Q41" s="341">
        <f>M41*O41*P41</f>
        <v>3.12</v>
      </c>
      <c r="R41" s="368"/>
      <c r="S41" s="332"/>
      <c r="T41" s="322"/>
      <c r="U41" s="322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 t="s">
        <v>264</v>
      </c>
      <c r="M42" s="255">
        <f t="shared" si="20"/>
        <v>2</v>
      </c>
      <c r="N42" s="338">
        <f>$N$10</f>
        <v>1</v>
      </c>
      <c r="O42" s="340">
        <v>0.0</v>
      </c>
      <c r="P42" s="339">
        <f t="shared" si="22"/>
        <v>1.3</v>
      </c>
      <c r="Q42" s="341">
        <f>M42*N42*P42</f>
        <v>2.6</v>
      </c>
      <c r="R42" s="368"/>
      <c r="S42" s="332"/>
      <c r="T42" s="322"/>
      <c r="U42" s="322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 t="s">
        <v>265</v>
      </c>
      <c r="M43" s="393">
        <v>0.0</v>
      </c>
      <c r="N43" s="345">
        <v>0.0</v>
      </c>
      <c r="O43" s="339">
        <f>$O$10</f>
        <v>1.2</v>
      </c>
      <c r="P43" s="339">
        <f t="shared" si="22"/>
        <v>1.3</v>
      </c>
      <c r="Q43" s="341">
        <f>M43*O43*P43</f>
        <v>0</v>
      </c>
      <c r="R43" s="368"/>
      <c r="S43" s="332"/>
      <c r="T43" s="322"/>
      <c r="U43" s="322"/>
    </row>
    <row r="44">
      <c r="A44" s="337"/>
      <c r="B44" s="337"/>
      <c r="C44" s="337"/>
      <c r="D44" s="337"/>
      <c r="E44" s="337"/>
      <c r="F44" s="337"/>
      <c r="G44" s="337"/>
      <c r="H44" s="337"/>
      <c r="I44" s="337"/>
      <c r="J44" s="337"/>
      <c r="K44" s="337"/>
      <c r="L44" s="337" t="s">
        <v>267</v>
      </c>
      <c r="M44" s="393">
        <v>0.0</v>
      </c>
      <c r="N44" s="338">
        <f>$N$10</f>
        <v>1</v>
      </c>
      <c r="O44" s="340">
        <v>0.0</v>
      </c>
      <c r="P44" s="339">
        <f t="shared" si="22"/>
        <v>1.3</v>
      </c>
      <c r="Q44" s="341">
        <f>M44*N44*P44</f>
        <v>0</v>
      </c>
      <c r="R44" s="368"/>
      <c r="S44" s="332"/>
      <c r="T44" s="322"/>
      <c r="U44" s="322"/>
    </row>
    <row r="45">
      <c r="A45" s="350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 t="s">
        <v>270</v>
      </c>
      <c r="M45" s="351">
        <f>T10</f>
        <v>1</v>
      </c>
      <c r="N45" s="352">
        <f>$S$11</f>
        <v>6</v>
      </c>
      <c r="O45" s="352">
        <f>$T$11</f>
        <v>0.5</v>
      </c>
      <c r="P45" s="352">
        <f>$U$11</f>
        <v>0.6</v>
      </c>
      <c r="Q45" s="341"/>
      <c r="R45" s="368"/>
      <c r="S45" s="332"/>
      <c r="T45" s="322"/>
      <c r="U45" s="322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 t="s">
        <v>272</v>
      </c>
      <c r="M46" s="393">
        <v>0.0</v>
      </c>
      <c r="N46" s="338">
        <f>$N$19</f>
        <v>6</v>
      </c>
      <c r="O46" s="345">
        <v>0.0</v>
      </c>
      <c r="P46" s="338">
        <f t="shared" ref="P46:P47" si="23">$P$19</f>
        <v>0.6</v>
      </c>
      <c r="Q46" s="341">
        <f>M46*N46*P46</f>
        <v>0</v>
      </c>
      <c r="R46" s="368"/>
      <c r="S46" s="332"/>
      <c r="T46" s="322"/>
      <c r="U46" s="322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 t="s">
        <v>262</v>
      </c>
      <c r="M47" s="393">
        <v>0.0</v>
      </c>
      <c r="N47" s="345">
        <v>0.0</v>
      </c>
      <c r="O47" s="338">
        <f t="shared" ref="O47:O48" si="24">$O$19</f>
        <v>0.5</v>
      </c>
      <c r="P47" s="338">
        <f t="shared" si="23"/>
        <v>0.6</v>
      </c>
      <c r="Q47" s="341">
        <f>M47*O47*P47</f>
        <v>0</v>
      </c>
      <c r="R47" s="368"/>
      <c r="S47" s="332"/>
      <c r="T47" s="322"/>
      <c r="U47" s="322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 t="s">
        <v>323</v>
      </c>
      <c r="M48" s="255">
        <f>T10</f>
        <v>1</v>
      </c>
      <c r="N48" s="338">
        <f>$N$19</f>
        <v>6</v>
      </c>
      <c r="O48" s="338">
        <f t="shared" si="24"/>
        <v>0.5</v>
      </c>
      <c r="P48" s="345">
        <v>0.0</v>
      </c>
      <c r="Q48" s="341">
        <f>M48*N48*O48</f>
        <v>3</v>
      </c>
      <c r="R48" s="368"/>
      <c r="S48" s="332"/>
      <c r="T48" s="322"/>
      <c r="U48" s="322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P49" s="387"/>
      <c r="Q49" s="388">
        <f>SUM(Q40:Q48)</f>
        <v>11.12</v>
      </c>
      <c r="R49" s="389" t="s">
        <v>292</v>
      </c>
      <c r="S49" s="332"/>
      <c r="T49" s="322"/>
      <c r="U49" s="322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358" t="s">
        <v>293</v>
      </c>
      <c r="Q50" s="362">
        <f>Q49*10.764</f>
        <v>119.69568</v>
      </c>
      <c r="R50" s="390" t="s">
        <v>30</v>
      </c>
      <c r="S50" s="332"/>
      <c r="T50" s="322"/>
      <c r="U50" s="322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368"/>
      <c r="P51" s="368"/>
      <c r="Q51" s="368"/>
      <c r="R51" s="368"/>
      <c r="S51" s="332"/>
      <c r="T51" s="322"/>
      <c r="U51" s="322"/>
    </row>
    <row r="52">
      <c r="A52" s="337"/>
      <c r="B52" s="337"/>
      <c r="C52" s="337"/>
      <c r="D52" s="337"/>
      <c r="E52" s="337"/>
      <c r="F52" s="337"/>
      <c r="G52" s="337"/>
      <c r="H52" s="337"/>
      <c r="I52" s="337"/>
      <c r="J52" s="337"/>
      <c r="K52" s="337"/>
      <c r="L52" s="337"/>
      <c r="M52" s="87"/>
      <c r="N52" s="87"/>
      <c r="O52" s="368"/>
      <c r="P52" s="368"/>
      <c r="Q52" s="368"/>
      <c r="R52" s="368"/>
      <c r="S52" s="332"/>
      <c r="T52" s="322"/>
      <c r="U52" s="322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368"/>
      <c r="P53" s="368"/>
      <c r="Q53" s="368"/>
      <c r="R53" s="368"/>
      <c r="S53" s="332"/>
      <c r="T53" s="322"/>
      <c r="U53" s="322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337"/>
      <c r="N54" s="87"/>
      <c r="O54" s="368"/>
      <c r="P54" s="368"/>
      <c r="Q54" s="368"/>
      <c r="R54" s="368"/>
      <c r="S54" s="332"/>
      <c r="T54" s="322"/>
      <c r="U54" s="322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368"/>
      <c r="P55" s="368"/>
      <c r="Q55" s="368"/>
      <c r="R55" s="368"/>
      <c r="S55" s="368"/>
      <c r="T55" s="333"/>
      <c r="U55" s="333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368"/>
      <c r="P56" s="368"/>
      <c r="Q56" s="368"/>
      <c r="R56" s="368"/>
      <c r="S56" s="368"/>
      <c r="T56" s="333"/>
      <c r="U56" s="333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368"/>
      <c r="P57" s="368"/>
      <c r="Q57" s="368"/>
      <c r="R57" s="368"/>
      <c r="S57" s="368"/>
      <c r="T57" s="333"/>
      <c r="U57" s="333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368"/>
      <c r="P58" s="332"/>
      <c r="Q58" s="332"/>
      <c r="R58" s="368"/>
      <c r="S58" s="332"/>
      <c r="T58" s="322"/>
      <c r="U58" s="322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368"/>
      <c r="P59" s="368"/>
      <c r="Q59" s="368"/>
      <c r="R59" s="368"/>
      <c r="S59" s="339"/>
      <c r="T59" s="322"/>
      <c r="U59" s="322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368"/>
      <c r="P60" s="368"/>
      <c r="Q60" s="368"/>
      <c r="R60" s="368"/>
      <c r="S60" s="332"/>
      <c r="T60" s="322"/>
      <c r="U60" s="322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368"/>
      <c r="P61" s="368"/>
      <c r="Q61" s="368"/>
      <c r="R61" s="368"/>
      <c r="S61" s="332"/>
      <c r="T61" s="322"/>
      <c r="U61" s="322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368"/>
      <c r="P62" s="368"/>
      <c r="Q62" s="368"/>
      <c r="R62" s="368"/>
      <c r="S62" s="332"/>
      <c r="T62" s="322"/>
      <c r="U62" s="322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368"/>
      <c r="P63" s="368"/>
      <c r="Q63" s="368"/>
      <c r="R63" s="368"/>
      <c r="S63" s="332"/>
      <c r="T63" s="322"/>
      <c r="U63" s="322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368"/>
      <c r="P64" s="368"/>
      <c r="Q64" s="368"/>
      <c r="R64" s="368"/>
      <c r="S64" s="332"/>
      <c r="T64" s="322"/>
      <c r="U64" s="322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368"/>
      <c r="P65" s="368"/>
      <c r="Q65" s="368"/>
      <c r="R65" s="368"/>
      <c r="S65" s="332"/>
      <c r="T65" s="322"/>
      <c r="U65" s="322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368"/>
      <c r="P66" s="368"/>
      <c r="Q66" s="368"/>
      <c r="R66" s="368"/>
      <c r="S66" s="368"/>
      <c r="T66" s="333"/>
      <c r="U66" s="404"/>
    </row>
    <row r="67">
      <c r="A67" s="405"/>
      <c r="B67" s="405"/>
      <c r="C67" s="405"/>
      <c r="D67" s="405"/>
      <c r="E67" s="405"/>
      <c r="F67" s="405"/>
      <c r="G67" s="405"/>
      <c r="H67" s="405"/>
      <c r="I67" s="405"/>
      <c r="J67" s="405"/>
      <c r="K67" s="405"/>
      <c r="L67" s="407"/>
      <c r="M67" s="87"/>
      <c r="N67" s="87"/>
      <c r="O67" s="408"/>
      <c r="P67" s="368"/>
      <c r="Q67" s="368"/>
      <c r="R67" s="368"/>
      <c r="S67" s="368"/>
      <c r="T67" s="333"/>
      <c r="U67" s="333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368"/>
      <c r="P68" s="368"/>
      <c r="Q68" s="368"/>
      <c r="R68" s="368"/>
      <c r="S68" s="409"/>
      <c r="T68" s="404"/>
      <c r="U68" s="404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407"/>
      <c r="N69" s="410"/>
      <c r="O69" s="368"/>
      <c r="P69" s="368"/>
      <c r="Q69" s="368"/>
      <c r="R69" s="368"/>
      <c r="S69" s="409"/>
      <c r="T69" s="404"/>
      <c r="U69" s="404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407"/>
      <c r="N70" s="87"/>
      <c r="O70" s="368"/>
      <c r="P70" s="368"/>
      <c r="Q70" s="368"/>
      <c r="R70" s="368"/>
      <c r="S70" s="409"/>
      <c r="T70" s="404"/>
      <c r="U70" s="404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368"/>
      <c r="P71" s="368"/>
      <c r="Q71" s="368"/>
      <c r="R71" s="368"/>
      <c r="S71" s="332"/>
      <c r="T71" s="404"/>
      <c r="U71" s="404"/>
    </row>
    <row r="72">
      <c r="A72" s="405"/>
      <c r="B72" s="405"/>
      <c r="C72" s="405"/>
      <c r="D72" s="405"/>
      <c r="E72" s="405"/>
      <c r="F72" s="405"/>
      <c r="G72" s="405"/>
      <c r="H72" s="405"/>
      <c r="I72" s="405"/>
      <c r="J72" s="405"/>
      <c r="K72" s="405"/>
      <c r="L72" s="407"/>
      <c r="M72" s="87"/>
      <c r="N72" s="87"/>
      <c r="O72" s="368"/>
      <c r="P72" s="368"/>
      <c r="Q72" s="368"/>
      <c r="R72" s="368"/>
      <c r="S72" s="368"/>
      <c r="T72" s="333"/>
      <c r="U72" s="333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407"/>
      <c r="N73" s="87"/>
      <c r="O73" s="368"/>
      <c r="P73" s="368"/>
      <c r="Q73" s="368"/>
      <c r="R73" s="368"/>
      <c r="S73" s="332"/>
      <c r="T73" s="404"/>
      <c r="U73" s="404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368"/>
      <c r="P74" s="368"/>
      <c r="Q74" s="368"/>
      <c r="R74" s="368"/>
      <c r="S74" s="368"/>
      <c r="T74" s="333"/>
      <c r="U74" s="333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407"/>
      <c r="N75" s="87"/>
      <c r="O75" s="368"/>
      <c r="P75" s="368"/>
      <c r="Q75" s="368"/>
      <c r="R75" s="368"/>
      <c r="S75" s="368"/>
      <c r="T75" s="333"/>
      <c r="U75" s="322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333"/>
      <c r="U76" s="333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411"/>
      <c r="T77" s="87"/>
      <c r="U77" s="412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411"/>
      <c r="T78" s="87"/>
      <c r="U78" s="412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411"/>
      <c r="T79" s="87"/>
      <c r="U79" s="412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411"/>
      <c r="T80" s="87"/>
      <c r="U80" s="412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411"/>
      <c r="T81" s="87"/>
      <c r="U81" s="412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350"/>
      <c r="N82" s="87"/>
      <c r="O82" s="87"/>
      <c r="P82" s="87"/>
      <c r="Q82" s="87"/>
      <c r="R82" s="87"/>
      <c r="S82" s="87"/>
      <c r="T82" s="87"/>
      <c r="U82" s="413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</row>
  </sheetData>
  <mergeCells count="20">
    <mergeCell ref="A8:I8"/>
    <mergeCell ref="L8:U8"/>
    <mergeCell ref="L13:R13"/>
    <mergeCell ref="AB17:AJ17"/>
    <mergeCell ref="F2:G2"/>
    <mergeCell ref="F3:G3"/>
    <mergeCell ref="F4:G4"/>
    <mergeCell ref="F5:G5"/>
    <mergeCell ref="B6:B7"/>
    <mergeCell ref="C6:C7"/>
    <mergeCell ref="D6:D7"/>
    <mergeCell ref="O38:P38"/>
    <mergeCell ref="O50:P50"/>
    <mergeCell ref="B23:B25"/>
    <mergeCell ref="O24:P24"/>
    <mergeCell ref="L26:U26"/>
    <mergeCell ref="B29:E29"/>
    <mergeCell ref="B30:E30"/>
    <mergeCell ref="B31:E31"/>
    <mergeCell ref="B32:E32"/>
  </mergeCells>
  <dataValidations>
    <dataValidation type="list" allowBlank="1" sqref="C14">
      <formula1>Master!$C$49:$C$50</formula1>
    </dataValidation>
    <dataValidation type="list" allowBlank="1" sqref="C17">
      <formula1>Master!$C$78:$C$79</formula1>
    </dataValidation>
    <dataValidation type="list" allowBlank="1" sqref="C18">
      <formula1>Master!$C$81:$C$83</formula1>
    </dataValidation>
    <dataValidation type="list" allowBlank="1" sqref="C13">
      <formula1>Master!$C$5:$C$48</formula1>
    </dataValidation>
    <dataValidation type="list" allowBlank="1" sqref="C20">
      <formula1>Master!$C$84</formula1>
    </dataValidation>
    <dataValidation type="list" allowBlank="1" sqref="C19">
      <formula1>Master!$D$86:$D$106</formula1>
    </dataValidation>
    <dataValidation type="list" allowBlank="1" sqref="C27">
      <formula1>Master!$L$77:$L$80</formula1>
    </dataValidation>
    <dataValidation type="list" allowBlank="1" sqref="C16">
      <formula1>Master!$C$76</formula1>
    </dataValidation>
    <dataValidation type="list" allowBlank="1" sqref="C23:C25">
      <formula1>Master!$C$111:$C$143</formula1>
    </dataValidation>
    <dataValidation type="list" allowBlank="1" sqref="C26">
      <formula1>"2.5%,5%"</formula1>
    </dataValidation>
    <dataValidation type="list" allowBlank="1" sqref="C15">
      <formula1>Master!$C$51:$C$60</formula1>
    </dataValidation>
    <dataValidation type="list" allowBlank="1" sqref="C22">
      <formula1>Master!$C$61:$C$74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6.0" topLeftCell="K7" activePane="bottomRight" state="frozen"/>
      <selection activeCell="K1" sqref="K1" pane="topRight"/>
      <selection activeCell="A7" sqref="A7" pane="bottomLeft"/>
      <selection activeCell="K7" sqref="K7" pane="bottomRight"/>
    </sheetView>
  </sheetViews>
  <sheetFormatPr customHeight="1" defaultColWidth="12.63" defaultRowHeight="15.75"/>
  <cols>
    <col customWidth="1" min="1" max="1" width="16.63"/>
    <col customWidth="1" min="2" max="2" width="8.63"/>
    <col customWidth="1" min="3" max="3" width="11.25"/>
    <col customWidth="1" min="4" max="4" width="9.88"/>
    <col customWidth="1" min="5" max="5" width="9.5"/>
    <col customWidth="1" min="6" max="6" width="10.0"/>
    <col customWidth="1" min="7" max="7" width="10.88"/>
    <col customWidth="1" min="9" max="9" width="12.13"/>
    <col customWidth="1" min="11" max="11" width="5.38"/>
    <col customWidth="1" min="12" max="12" width="19.0"/>
    <col customWidth="1" min="13" max="13" width="21.25"/>
    <col customWidth="1" min="14" max="14" width="8.0"/>
    <col customWidth="1" min="15" max="15" width="9.88"/>
    <col customWidth="1" min="16" max="16" width="10.63"/>
    <col customWidth="1" min="19" max="19" width="9.25"/>
  </cols>
  <sheetData>
    <row r="1" ht="34.5" customHeight="1">
      <c r="A1" s="472" t="s">
        <v>236</v>
      </c>
      <c r="B1" s="100"/>
      <c r="C1" s="100"/>
      <c r="D1" s="100"/>
      <c r="E1" s="100"/>
      <c r="F1" s="100"/>
      <c r="G1" s="100"/>
      <c r="H1" s="100"/>
      <c r="I1" s="100"/>
      <c r="J1" s="98"/>
      <c r="K1" s="348" t="s">
        <v>245</v>
      </c>
    </row>
    <row r="2">
      <c r="A2" s="473" t="s">
        <v>237</v>
      </c>
      <c r="B2" s="473" t="str">
        <f>upper(B6)</f>
        <v>NOS</v>
      </c>
      <c r="C2" s="473" t="s">
        <v>238</v>
      </c>
      <c r="D2" s="473" t="s">
        <v>239</v>
      </c>
      <c r="E2" s="473" t="s">
        <v>240</v>
      </c>
      <c r="F2" s="299"/>
      <c r="G2" s="474" t="str">
        <f>upper(A12)</f>
        <v>SHELVES </v>
      </c>
      <c r="H2" s="474" t="s">
        <v>241</v>
      </c>
      <c r="I2" s="474" t="s">
        <v>242</v>
      </c>
      <c r="J2" s="474" t="s">
        <v>243</v>
      </c>
      <c r="L2" s="255"/>
      <c r="M2" s="255"/>
      <c r="N2" s="255"/>
      <c r="O2" s="255"/>
    </row>
    <row r="3">
      <c r="A3" s="303">
        <f>roundup(C3*D3*10.764 , 0)</f>
        <v>26</v>
      </c>
      <c r="B3" s="303">
        <v>1.0</v>
      </c>
      <c r="C3" s="303">
        <v>2.0</v>
      </c>
      <c r="D3" s="303">
        <v>1.2</v>
      </c>
      <c r="E3" s="304">
        <v>0.6</v>
      </c>
      <c r="F3" s="475" t="s">
        <v>244</v>
      </c>
      <c r="G3" s="476">
        <v>0.0</v>
      </c>
      <c r="H3" s="476">
        <v>0.0</v>
      </c>
      <c r="I3" s="448">
        <v>0.0</v>
      </c>
      <c r="J3" s="476">
        <v>0.0</v>
      </c>
      <c r="K3" s="477"/>
      <c r="L3" s="87"/>
      <c r="M3" s="87"/>
      <c r="N3" s="87"/>
      <c r="O3" s="255"/>
    </row>
    <row r="4">
      <c r="A4" s="87"/>
      <c r="B4" s="87"/>
      <c r="C4" s="87"/>
      <c r="D4" s="87"/>
      <c r="E4" s="87"/>
      <c r="F4" s="87"/>
      <c r="G4" s="87"/>
      <c r="H4" s="448">
        <v>0.4</v>
      </c>
      <c r="I4" s="448">
        <v>0.225</v>
      </c>
      <c r="J4" s="478">
        <f>E3</f>
        <v>0.6</v>
      </c>
      <c r="K4" s="87"/>
      <c r="L4" s="87"/>
      <c r="M4" s="87"/>
      <c r="N4" s="87"/>
    </row>
    <row r="5">
      <c r="A5" s="331"/>
      <c r="B5" s="331"/>
      <c r="C5" s="331"/>
      <c r="D5" s="331"/>
      <c r="E5" s="331"/>
      <c r="F5" s="331"/>
      <c r="G5" s="331"/>
      <c r="H5" s="331"/>
      <c r="I5" s="331"/>
      <c r="J5" s="331"/>
      <c r="K5" s="87"/>
      <c r="L5" s="87"/>
      <c r="M5" s="87"/>
      <c r="N5" s="87"/>
    </row>
    <row r="6">
      <c r="A6" s="87"/>
      <c r="B6" s="318" t="s">
        <v>156</v>
      </c>
      <c r="C6" s="318" t="s">
        <v>252</v>
      </c>
      <c r="D6" s="319" t="s">
        <v>253</v>
      </c>
      <c r="E6" s="319" t="s">
        <v>254</v>
      </c>
      <c r="F6" s="320" t="s">
        <v>255</v>
      </c>
      <c r="G6" s="320"/>
      <c r="I6" s="425"/>
      <c r="J6" s="322"/>
      <c r="K6" s="312" t="s">
        <v>5</v>
      </c>
      <c r="L6" s="313" t="s">
        <v>246</v>
      </c>
      <c r="M6" s="313" t="s">
        <v>247</v>
      </c>
      <c r="N6" s="314" t="s">
        <v>248</v>
      </c>
      <c r="O6" s="313" t="s">
        <v>249</v>
      </c>
      <c r="P6" s="314" t="s">
        <v>250</v>
      </c>
      <c r="Q6" s="450" t="s">
        <v>251</v>
      </c>
    </row>
    <row r="7">
      <c r="A7" s="331" t="s">
        <v>259</v>
      </c>
      <c r="H7" s="332"/>
      <c r="I7" s="333"/>
      <c r="J7" s="333"/>
      <c r="K7" s="479"/>
      <c r="L7" s="479"/>
      <c r="M7" s="479"/>
      <c r="N7" s="479"/>
      <c r="O7" s="479"/>
      <c r="P7" s="479"/>
      <c r="Q7" s="480"/>
    </row>
    <row r="8">
      <c r="A8" s="337" t="s">
        <v>285</v>
      </c>
      <c r="B8" s="255">
        <f t="shared" ref="B8:B10" si="1">$B$3*2</f>
        <v>2</v>
      </c>
      <c r="C8" s="338">
        <f>$C$3</f>
        <v>2</v>
      </c>
      <c r="D8" s="339">
        <f>$D$3</f>
        <v>1.2</v>
      </c>
      <c r="E8" s="340">
        <v>0.0</v>
      </c>
      <c r="F8" s="341">
        <f>B8*C8*D8</f>
        <v>4.8</v>
      </c>
      <c r="G8" s="341"/>
      <c r="H8" s="332"/>
      <c r="I8" s="452" t="s">
        <v>317</v>
      </c>
      <c r="J8" s="453">
        <f>F18*1.1</f>
        <v>102.301056</v>
      </c>
      <c r="K8" s="323">
        <v>1.0</v>
      </c>
      <c r="L8" s="323" t="str">
        <f>A7</f>
        <v>BASE MATERIAL </v>
      </c>
      <c r="M8" s="323" t="s">
        <v>85</v>
      </c>
      <c r="N8" s="325" t="s">
        <v>258</v>
      </c>
      <c r="O8" s="344">
        <f t="shared" ref="O8:O10" si="2">roundup(J8/32,0)</f>
        <v>4</v>
      </c>
      <c r="P8" s="327">
        <f>vlookup(M8,Master!$C$5:$H$110,6,0)</f>
        <v>2336</v>
      </c>
      <c r="Q8" s="451">
        <f t="shared" ref="Q8:Q17" si="3">P8*O8</f>
        <v>9344</v>
      </c>
    </row>
    <row r="9">
      <c r="A9" s="87" t="s">
        <v>262</v>
      </c>
      <c r="B9" s="255">
        <f t="shared" si="1"/>
        <v>2</v>
      </c>
      <c r="C9" s="345">
        <v>0.0</v>
      </c>
      <c r="D9" s="339">
        <f>D3</f>
        <v>1.2</v>
      </c>
      <c r="E9" s="339">
        <f t="shared" ref="E9:E12" si="4">$E$3</f>
        <v>0.6</v>
      </c>
      <c r="F9" s="341">
        <f>B9*D9*E9</f>
        <v>1.44</v>
      </c>
      <c r="G9" s="341"/>
      <c r="H9" s="332"/>
      <c r="I9" s="452" t="s">
        <v>319</v>
      </c>
      <c r="J9" s="453">
        <f>F32*1.1</f>
        <v>102.301056</v>
      </c>
      <c r="K9" s="432">
        <v>2.0</v>
      </c>
      <c r="L9" s="344" t="str">
        <f>A21</f>
        <v>INTERNAL FINISH </v>
      </c>
      <c r="M9" s="323" t="s">
        <v>316</v>
      </c>
      <c r="N9" s="325" t="s">
        <v>258</v>
      </c>
      <c r="O9" s="355">
        <f t="shared" si="2"/>
        <v>4</v>
      </c>
      <c r="P9" s="327" t="str">
        <f>vlookup(M9,Master!$C$5:$H$110,6,0)</f>
        <v>#N/A</v>
      </c>
      <c r="Q9" s="451" t="str">
        <f t="shared" si="3"/>
        <v>#N/A</v>
      </c>
    </row>
    <row r="10">
      <c r="A10" s="87" t="s">
        <v>264</v>
      </c>
      <c r="B10" s="255">
        <f t="shared" si="1"/>
        <v>2</v>
      </c>
      <c r="C10" s="338">
        <f>$C$3</f>
        <v>2</v>
      </c>
      <c r="D10" s="340">
        <v>0.0</v>
      </c>
      <c r="E10" s="339">
        <f t="shared" si="4"/>
        <v>0.6</v>
      </c>
      <c r="F10" s="341">
        <f>B10*C10*E10</f>
        <v>2.4</v>
      </c>
      <c r="G10" s="341"/>
      <c r="H10" s="332"/>
      <c r="I10" s="452" t="s">
        <v>320</v>
      </c>
      <c r="J10" s="453">
        <f>F44*1.1</f>
        <v>102.301056</v>
      </c>
      <c r="K10" s="432">
        <v>3.0</v>
      </c>
      <c r="L10" s="344" t="str">
        <f>A33</f>
        <v>External FINISH </v>
      </c>
      <c r="M10" s="323" t="s">
        <v>318</v>
      </c>
      <c r="N10" s="325" t="s">
        <v>258</v>
      </c>
      <c r="O10" s="355">
        <f t="shared" si="2"/>
        <v>4</v>
      </c>
      <c r="P10" s="327">
        <f>vlookup(M10,Master!$C$5:$H$110,6,0)</f>
        <v>1500</v>
      </c>
      <c r="Q10" s="451">
        <f t="shared" si="3"/>
        <v>6000</v>
      </c>
    </row>
    <row r="11">
      <c r="A11" s="87" t="s">
        <v>265</v>
      </c>
      <c r="B11" s="255">
        <f>$H$3</f>
        <v>0</v>
      </c>
      <c r="C11" s="345">
        <v>0.0</v>
      </c>
      <c r="D11" s="339">
        <f>$D$3</f>
        <v>1.2</v>
      </c>
      <c r="E11" s="339">
        <f t="shared" si="4"/>
        <v>0.6</v>
      </c>
      <c r="F11" s="341">
        <f>B11*D11*E11</f>
        <v>0</v>
      </c>
      <c r="G11" s="454"/>
      <c r="H11" s="368"/>
      <c r="I11" s="333"/>
      <c r="J11" s="333"/>
      <c r="K11" s="323">
        <v>4.0</v>
      </c>
      <c r="L11" s="325" t="s">
        <v>152</v>
      </c>
      <c r="M11" s="325" t="s">
        <v>152</v>
      </c>
      <c r="N11" s="325" t="s">
        <v>269</v>
      </c>
      <c r="O11" s="355">
        <f>O8</f>
        <v>4</v>
      </c>
      <c r="P11" s="327">
        <f>vlookup(M11,Master!$C$5:$H$110,6,0)</f>
        <v>245</v>
      </c>
      <c r="Q11" s="451">
        <f t="shared" si="3"/>
        <v>980</v>
      </c>
    </row>
    <row r="12">
      <c r="A12" s="337" t="s">
        <v>267</v>
      </c>
      <c r="B12" s="255">
        <f>$G$3</f>
        <v>0</v>
      </c>
      <c r="C12" s="338">
        <f>$C$3</f>
        <v>2</v>
      </c>
      <c r="D12" s="340">
        <v>0.0</v>
      </c>
      <c r="E12" s="339">
        <f t="shared" si="4"/>
        <v>0.6</v>
      </c>
      <c r="F12" s="341">
        <f>B12*C12*E12</f>
        <v>0</v>
      </c>
      <c r="G12" s="454"/>
      <c r="H12" s="368"/>
      <c r="I12" s="333"/>
      <c r="J12" s="333"/>
      <c r="K12" s="432">
        <v>5.0</v>
      </c>
      <c r="L12" s="325" t="s">
        <v>271</v>
      </c>
      <c r="M12" s="325" t="s">
        <v>155</v>
      </c>
      <c r="N12" s="325" t="s">
        <v>258</v>
      </c>
      <c r="O12" s="355">
        <f>J3</f>
        <v>0</v>
      </c>
      <c r="P12" s="327">
        <f>vlookup(M12,Master!$C$5:$H$110,6,0)</f>
        <v>200</v>
      </c>
      <c r="Q12" s="451">
        <f t="shared" si="3"/>
        <v>0</v>
      </c>
    </row>
    <row r="13">
      <c r="A13" s="350" t="s">
        <v>270</v>
      </c>
      <c r="B13" s="351">
        <f>I3</f>
        <v>0</v>
      </c>
      <c r="C13" s="352">
        <f t="shared" ref="C13:E13" si="5">H4</f>
        <v>0.4</v>
      </c>
      <c r="D13" s="352">
        <f t="shared" si="5"/>
        <v>0.225</v>
      </c>
      <c r="E13" s="352">
        <f t="shared" si="5"/>
        <v>0.6</v>
      </c>
      <c r="F13" s="341"/>
      <c r="G13" s="454"/>
      <c r="H13" s="368"/>
      <c r="I13" s="333"/>
      <c r="J13" s="333"/>
      <c r="K13" s="432">
        <v>6.0</v>
      </c>
      <c r="L13" s="323" t="s">
        <v>158</v>
      </c>
      <c r="M13" s="325" t="s">
        <v>159</v>
      </c>
      <c r="N13" s="325" t="s">
        <v>273</v>
      </c>
      <c r="O13" s="355">
        <f>J3</f>
        <v>0</v>
      </c>
      <c r="P13" s="327">
        <f>vlookup(M13,Master!$C$5:$H$110,6,0)</f>
        <v>100</v>
      </c>
      <c r="Q13" s="451">
        <f t="shared" si="3"/>
        <v>0</v>
      </c>
    </row>
    <row r="14">
      <c r="A14" s="87" t="s">
        <v>272</v>
      </c>
      <c r="B14" s="255">
        <f>I3</f>
        <v>0</v>
      </c>
      <c r="C14" s="338">
        <f>$C$13</f>
        <v>0.4</v>
      </c>
      <c r="D14" s="345">
        <v>0.0</v>
      </c>
      <c r="E14" s="338">
        <f t="shared" ref="E14:E15" si="6">$E$13</f>
        <v>0.6</v>
      </c>
      <c r="F14" s="341">
        <f>B14*C14*E14</f>
        <v>0</v>
      </c>
      <c r="G14" s="332"/>
      <c r="H14" s="332"/>
      <c r="I14" s="333"/>
      <c r="J14" s="333"/>
      <c r="K14" s="323">
        <v>7.0</v>
      </c>
      <c r="L14" s="323" t="s">
        <v>164</v>
      </c>
      <c r="M14" s="325" t="s">
        <v>321</v>
      </c>
      <c r="N14" s="325" t="s">
        <v>273</v>
      </c>
      <c r="O14" s="355">
        <f>I3</f>
        <v>0</v>
      </c>
      <c r="P14" s="327" t="str">
        <f>vlookup(M14,Master!$C$5:$H$110,6,0)</f>
        <v>#N/A</v>
      </c>
      <c r="Q14" s="451" t="str">
        <f t="shared" si="3"/>
        <v>#N/A</v>
      </c>
    </row>
    <row r="15">
      <c r="A15" s="87" t="s">
        <v>262</v>
      </c>
      <c r="B15" s="255">
        <f>I3*2</f>
        <v>0</v>
      </c>
      <c r="C15" s="345">
        <v>0.0</v>
      </c>
      <c r="D15" s="338">
        <f t="shared" ref="D15:D16" si="7">$D$13</f>
        <v>0.225</v>
      </c>
      <c r="E15" s="338">
        <f t="shared" si="6"/>
        <v>0.6</v>
      </c>
      <c r="F15" s="341">
        <f>B15*D15*E15</f>
        <v>0</v>
      </c>
      <c r="G15" s="332"/>
      <c r="H15" s="332"/>
      <c r="I15" s="333"/>
      <c r="J15" s="333"/>
      <c r="K15" s="432">
        <v>8.0</v>
      </c>
      <c r="L15" s="323" t="s">
        <v>276</v>
      </c>
      <c r="M15" s="325" t="s">
        <v>163</v>
      </c>
      <c r="N15" s="325" t="s">
        <v>258</v>
      </c>
      <c r="O15" s="357">
        <v>0.0</v>
      </c>
      <c r="P15" s="327">
        <f>vlookup(M15,Master!$C$5:$H$110,6,0)</f>
        <v>174</v>
      </c>
      <c r="Q15" s="451">
        <f t="shared" si="3"/>
        <v>0</v>
      </c>
    </row>
    <row r="16">
      <c r="A16" s="87" t="s">
        <v>323</v>
      </c>
      <c r="B16" s="255">
        <f>I3*2</f>
        <v>0</v>
      </c>
      <c r="C16" s="338">
        <f>$C$13</f>
        <v>0.4</v>
      </c>
      <c r="D16" s="338">
        <f t="shared" si="7"/>
        <v>0.225</v>
      </c>
      <c r="E16" s="345">
        <v>0.0</v>
      </c>
      <c r="F16" s="341">
        <f>B16*C16*D16</f>
        <v>0</v>
      </c>
      <c r="G16" s="332"/>
      <c r="H16" s="332"/>
      <c r="I16" s="333"/>
      <c r="J16" s="333"/>
      <c r="K16" s="432">
        <v>9.0</v>
      </c>
      <c r="L16" s="360" t="s">
        <v>154</v>
      </c>
      <c r="M16" s="360" t="s">
        <v>154</v>
      </c>
      <c r="N16" s="325" t="s">
        <v>269</v>
      </c>
      <c r="O16" s="361">
        <f>A3*0.15</f>
        <v>3.9</v>
      </c>
      <c r="P16" s="327">
        <f>vlookup(M16,Master!$C$5:$H$110,6,0)</f>
        <v>80</v>
      </c>
      <c r="Q16" s="451">
        <f t="shared" si="3"/>
        <v>312</v>
      </c>
    </row>
    <row r="17">
      <c r="A17" s="87"/>
      <c r="B17" s="255"/>
      <c r="C17" s="87"/>
      <c r="E17" s="387"/>
      <c r="F17" s="388">
        <f>SUM(F8:F16)</f>
        <v>8.64</v>
      </c>
      <c r="G17" s="389" t="s">
        <v>292</v>
      </c>
      <c r="H17" s="332"/>
      <c r="I17" s="333"/>
      <c r="J17" s="333"/>
      <c r="K17" s="323">
        <v>10.0</v>
      </c>
      <c r="L17" s="323" t="s">
        <v>279</v>
      </c>
      <c r="M17" s="323" t="s">
        <v>322</v>
      </c>
      <c r="N17" s="325" t="s">
        <v>30</v>
      </c>
      <c r="O17" s="357">
        <v>0.0</v>
      </c>
      <c r="P17" s="327" t="str">
        <f>vlookup(M17,Master!$C$5:$H$110,6,0)</f>
        <v>#N/A</v>
      </c>
      <c r="Q17" s="451" t="str">
        <f t="shared" si="3"/>
        <v>#N/A</v>
      </c>
    </row>
    <row r="18">
      <c r="A18" s="87"/>
      <c r="B18" s="255"/>
      <c r="C18" s="87"/>
      <c r="D18" s="358" t="s">
        <v>293</v>
      </c>
      <c r="F18" s="362">
        <f>F17*10.764</f>
        <v>93.00096</v>
      </c>
      <c r="G18" s="390" t="s">
        <v>30</v>
      </c>
      <c r="H18" s="332"/>
      <c r="I18" s="333"/>
      <c r="J18" s="333"/>
      <c r="K18" s="432">
        <v>11.0</v>
      </c>
      <c r="L18" s="364" t="s">
        <v>280</v>
      </c>
      <c r="M18" s="323" t="s">
        <v>201</v>
      </c>
      <c r="N18" s="325" t="s">
        <v>30</v>
      </c>
      <c r="O18" s="357">
        <v>0.0</v>
      </c>
      <c r="P18" s="327" t="str">
        <f>vlookup(M18,Master!C111:H143,6)</f>
        <v>#N/A</v>
      </c>
      <c r="Q18" s="451">
        <f>(ifs(O18=0,0,O18&gt;=1,(O18*P18)))</f>
        <v>0</v>
      </c>
    </row>
    <row r="19">
      <c r="A19" s="363"/>
      <c r="B19" s="363"/>
      <c r="C19" s="363"/>
      <c r="D19" s="363"/>
      <c r="E19" s="363"/>
      <c r="F19" s="363"/>
      <c r="G19" s="363"/>
      <c r="H19" s="363"/>
      <c r="I19" s="363"/>
      <c r="J19" s="363"/>
      <c r="K19" s="432">
        <v>12.0</v>
      </c>
      <c r="L19" s="366"/>
      <c r="M19" s="323" t="s">
        <v>206</v>
      </c>
      <c r="N19" s="325" t="s">
        <v>30</v>
      </c>
      <c r="O19" s="357">
        <v>0.0</v>
      </c>
      <c r="P19" s="327">
        <f>vlookup(M19,Master!C112:H144,6)</f>
        <v>150</v>
      </c>
      <c r="Q19" s="451">
        <f t="shared" ref="Q19:Q22" si="8">P19*O19</f>
        <v>0</v>
      </c>
    </row>
    <row r="20">
      <c r="A20" s="363" t="s">
        <v>281</v>
      </c>
      <c r="J20" s="365"/>
      <c r="K20" s="323">
        <v>13.0</v>
      </c>
      <c r="L20" s="446"/>
      <c r="M20" s="323" t="s">
        <v>324</v>
      </c>
      <c r="N20" s="325" t="s">
        <v>30</v>
      </c>
      <c r="O20" s="357">
        <v>0.0</v>
      </c>
      <c r="P20" s="327">
        <f>vlookup(M20,Master!C113:H145,6)</f>
        <v>150</v>
      </c>
      <c r="Q20" s="451">
        <f t="shared" si="8"/>
        <v>0</v>
      </c>
    </row>
    <row r="21">
      <c r="A21" s="367" t="s">
        <v>282</v>
      </c>
      <c r="B21" s="87"/>
      <c r="C21" s="87"/>
      <c r="D21" s="368"/>
      <c r="E21" s="368"/>
      <c r="F21" s="368"/>
      <c r="G21" s="368"/>
      <c r="H21" s="332"/>
      <c r="I21" s="322"/>
      <c r="J21" s="322"/>
      <c r="K21" s="432">
        <v>14.0</v>
      </c>
      <c r="L21" s="369" t="s">
        <v>283</v>
      </c>
      <c r="M21" s="370">
        <v>0.05</v>
      </c>
      <c r="N21" s="325" t="s">
        <v>284</v>
      </c>
      <c r="O21" s="357">
        <v>1.0</v>
      </c>
      <c r="P21" s="361" t="str">
        <f>(sum(Q8:Q10)*M21)</f>
        <v>#N/A</v>
      </c>
      <c r="Q21" s="451" t="str">
        <f t="shared" si="8"/>
        <v>#N/A</v>
      </c>
    </row>
    <row r="22">
      <c r="A22" s="337" t="s">
        <v>285</v>
      </c>
      <c r="B22" s="255">
        <f t="shared" ref="B22:B24" si="9">$B$3*2</f>
        <v>2</v>
      </c>
      <c r="C22" s="338">
        <f>$C$3</f>
        <v>2</v>
      </c>
      <c r="D22" s="339">
        <f t="shared" ref="D22:D23" si="10">$D$3</f>
        <v>1.2</v>
      </c>
      <c r="E22" s="340">
        <v>0.0</v>
      </c>
      <c r="F22" s="341">
        <f>B22*C22*D22</f>
        <v>4.8</v>
      </c>
      <c r="G22" s="368"/>
      <c r="H22" s="332"/>
      <c r="I22" s="322"/>
      <c r="J22" s="322"/>
      <c r="K22" s="323">
        <v>15.0</v>
      </c>
      <c r="L22" s="323" t="s">
        <v>286</v>
      </c>
      <c r="M22" s="323" t="s">
        <v>309</v>
      </c>
      <c r="N22" s="325" t="s">
        <v>30</v>
      </c>
      <c r="O22" s="361">
        <f>A3</f>
        <v>26</v>
      </c>
      <c r="P22" s="327" t="str">
        <f>vlookup(M22,Master!L77:N82,5,0)</f>
        <v>#REF!</v>
      </c>
      <c r="Q22" s="451" t="str">
        <f t="shared" si="8"/>
        <v>#REF!</v>
      </c>
    </row>
    <row r="23">
      <c r="A23" s="87" t="s">
        <v>262</v>
      </c>
      <c r="B23" s="255">
        <f t="shared" si="9"/>
        <v>2</v>
      </c>
      <c r="C23" s="345">
        <v>0.0</v>
      </c>
      <c r="D23" s="339">
        <f t="shared" si="10"/>
        <v>1.2</v>
      </c>
      <c r="E23" s="339">
        <f t="shared" ref="E23:E26" si="11">$E$3</f>
        <v>0.6</v>
      </c>
      <c r="F23" s="341">
        <f>B23*D23*E23</f>
        <v>1.44</v>
      </c>
      <c r="G23" s="368"/>
      <c r="H23" s="332"/>
      <c r="I23" s="322"/>
      <c r="J23" s="322"/>
      <c r="K23" s="323">
        <v>16.0</v>
      </c>
      <c r="L23" s="455" t="s">
        <v>287</v>
      </c>
      <c r="M23" s="456"/>
      <c r="N23" s="456"/>
      <c r="O23" s="456"/>
      <c r="P23" s="435">
        <v>0.05</v>
      </c>
      <c r="Q23" s="451" t="str">
        <f>SUM(Q8:Q22)*P23</f>
        <v>#N/A</v>
      </c>
    </row>
    <row r="24">
      <c r="A24" s="87" t="s">
        <v>264</v>
      </c>
      <c r="B24" s="255">
        <f t="shared" si="9"/>
        <v>2</v>
      </c>
      <c r="C24" s="338">
        <f>$C$3</f>
        <v>2</v>
      </c>
      <c r="D24" s="340">
        <v>0.0</v>
      </c>
      <c r="E24" s="339">
        <f t="shared" si="11"/>
        <v>0.6</v>
      </c>
      <c r="F24" s="341">
        <f>B24*C24*E24</f>
        <v>2.4</v>
      </c>
      <c r="G24" s="368"/>
      <c r="H24" s="332"/>
      <c r="I24" s="322"/>
      <c r="J24" s="322"/>
      <c r="K24" s="457"/>
      <c r="L24" s="458" t="s">
        <v>288</v>
      </c>
      <c r="M24" s="276"/>
      <c r="N24" s="276"/>
      <c r="O24" s="277"/>
      <c r="P24" s="459"/>
      <c r="Q24" s="460" t="str">
        <f>SUM(Q8:Q23)</f>
        <v>#N/A</v>
      </c>
      <c r="R24" s="461" t="str">
        <f t="shared" ref="R24:R27" si="12">Q24/$A$3</f>
        <v>#N/A</v>
      </c>
      <c r="S24" s="462" t="s">
        <v>289</v>
      </c>
    </row>
    <row r="25">
      <c r="A25" s="87" t="s">
        <v>265</v>
      </c>
      <c r="B25" s="255">
        <f>H3*2</f>
        <v>0</v>
      </c>
      <c r="C25" s="345">
        <v>0.0</v>
      </c>
      <c r="D25" s="339">
        <f>$D$3</f>
        <v>1.2</v>
      </c>
      <c r="E25" s="339">
        <f t="shared" si="11"/>
        <v>0.6</v>
      </c>
      <c r="F25" s="341">
        <f>B25*D25*E25</f>
        <v>0</v>
      </c>
      <c r="G25" s="368"/>
      <c r="H25" s="332"/>
      <c r="I25" s="322"/>
      <c r="J25" s="322"/>
      <c r="K25" s="463"/>
      <c r="L25" s="464" t="s">
        <v>325</v>
      </c>
      <c r="M25" s="465"/>
      <c r="N25" s="465"/>
      <c r="O25" s="466"/>
      <c r="P25" s="467">
        <v>0.5</v>
      </c>
      <c r="Q25" s="468" t="str">
        <f>ROUNDUP(Q24/(1-P25),0)</f>
        <v>#N/A</v>
      </c>
      <c r="R25" s="469" t="str">
        <f t="shared" si="12"/>
        <v>#N/A</v>
      </c>
      <c r="S25" s="470" t="s">
        <v>289</v>
      </c>
    </row>
    <row r="26">
      <c r="A26" s="337" t="s">
        <v>267</v>
      </c>
      <c r="B26" s="255">
        <f>G3*2</f>
        <v>0</v>
      </c>
      <c r="C26" s="338">
        <f>$C$3</f>
        <v>2</v>
      </c>
      <c r="D26" s="340">
        <v>0.0</v>
      </c>
      <c r="E26" s="339">
        <f t="shared" si="11"/>
        <v>0.6</v>
      </c>
      <c r="F26" s="341">
        <f>B26*C26*E26</f>
        <v>0</v>
      </c>
      <c r="G26" s="368"/>
      <c r="H26" s="332"/>
      <c r="I26" s="322"/>
      <c r="J26" s="322"/>
      <c r="K26" s="337"/>
      <c r="L26" s="436" t="s">
        <v>326</v>
      </c>
      <c r="P26" s="437">
        <v>0.18</v>
      </c>
      <c r="Q26" s="471" t="str">
        <f t="shared" ref="Q26:Q27" si="13">ROUNDUP(Q25*(1+P26),0)</f>
        <v>#N/A</v>
      </c>
      <c r="R26" s="438" t="str">
        <f t="shared" si="12"/>
        <v>#N/A</v>
      </c>
      <c r="S26" s="384" t="s">
        <v>289</v>
      </c>
    </row>
    <row r="27">
      <c r="A27" s="350" t="s">
        <v>270</v>
      </c>
      <c r="B27" s="351">
        <f>I3</f>
        <v>0</v>
      </c>
      <c r="C27" s="352">
        <f>$H$4</f>
        <v>0.4</v>
      </c>
      <c r="D27" s="352">
        <f>$I$4</f>
        <v>0.225</v>
      </c>
      <c r="E27" s="352">
        <f>$J$4</f>
        <v>0.6</v>
      </c>
      <c r="F27" s="341"/>
      <c r="G27" s="368"/>
      <c r="H27" s="332"/>
      <c r="I27" s="322"/>
      <c r="J27" s="322"/>
      <c r="K27" s="87"/>
      <c r="L27" s="436" t="s">
        <v>327</v>
      </c>
      <c r="P27" s="437">
        <v>0.08</v>
      </c>
      <c r="Q27" s="471" t="str">
        <f t="shared" si="13"/>
        <v>#N/A</v>
      </c>
      <c r="R27" s="438" t="str">
        <f t="shared" si="12"/>
        <v>#N/A</v>
      </c>
      <c r="S27" s="384" t="s">
        <v>289</v>
      </c>
    </row>
    <row r="28">
      <c r="A28" s="87" t="s">
        <v>272</v>
      </c>
      <c r="B28" s="255">
        <f t="shared" ref="B28:B29" si="14">B14*2</f>
        <v>0</v>
      </c>
      <c r="C28" s="338">
        <f>$C$13</f>
        <v>0.4</v>
      </c>
      <c r="D28" s="345">
        <v>0.0</v>
      </c>
      <c r="E28" s="338">
        <f t="shared" ref="E28:E29" si="15">$E$13</f>
        <v>0.6</v>
      </c>
      <c r="F28" s="341">
        <f>B28*C28*E28</f>
        <v>0</v>
      </c>
      <c r="G28" s="368"/>
      <c r="H28" s="332"/>
      <c r="I28" s="322"/>
      <c r="J28" s="322"/>
      <c r="K28" s="87"/>
      <c r="L28" s="87"/>
      <c r="M28" s="87"/>
      <c r="N28" s="87"/>
      <c r="R28" s="481" t="str">
        <f>R27/R24</f>
        <v>#N/A</v>
      </c>
    </row>
    <row r="29">
      <c r="A29" s="87" t="s">
        <v>262</v>
      </c>
      <c r="B29" s="255">
        <f t="shared" si="14"/>
        <v>0</v>
      </c>
      <c r="C29" s="345">
        <v>0.0</v>
      </c>
      <c r="D29" s="338">
        <f t="shared" ref="D29:D30" si="16">$D$13</f>
        <v>0.225</v>
      </c>
      <c r="E29" s="338">
        <f t="shared" si="15"/>
        <v>0.6</v>
      </c>
      <c r="F29" s="341">
        <f>B29*D29*E29</f>
        <v>0</v>
      </c>
      <c r="G29" s="368"/>
      <c r="H29" s="332"/>
      <c r="I29" s="322"/>
      <c r="J29" s="322"/>
      <c r="K29" s="87"/>
      <c r="L29" s="87"/>
      <c r="M29" s="87"/>
      <c r="N29" s="87"/>
    </row>
    <row r="30">
      <c r="A30" s="87" t="s">
        <v>323</v>
      </c>
      <c r="B30" s="255">
        <f>I3*3</f>
        <v>0</v>
      </c>
      <c r="C30" s="338">
        <f>$C$13</f>
        <v>0.4</v>
      </c>
      <c r="D30" s="338">
        <f t="shared" si="16"/>
        <v>0.225</v>
      </c>
      <c r="E30" s="345">
        <v>0.0</v>
      </c>
      <c r="F30" s="341">
        <f>B30*C30*D30</f>
        <v>0</v>
      </c>
      <c r="G30" s="368"/>
      <c r="H30" s="332"/>
      <c r="I30" s="322"/>
      <c r="J30" s="322"/>
      <c r="K30" s="87"/>
      <c r="L30" s="87"/>
      <c r="M30" s="87"/>
      <c r="N30" s="87"/>
    </row>
    <row r="31">
      <c r="A31" s="87"/>
      <c r="B31" s="87"/>
      <c r="C31" s="87"/>
      <c r="E31" s="387"/>
      <c r="F31" s="388">
        <f>SUM(F22:F30)</f>
        <v>8.64</v>
      </c>
      <c r="G31" s="389" t="s">
        <v>292</v>
      </c>
      <c r="H31" s="332"/>
      <c r="I31" s="322"/>
      <c r="J31" s="322"/>
      <c r="K31" s="87"/>
      <c r="L31" s="87"/>
      <c r="M31" s="87"/>
      <c r="N31" s="87"/>
    </row>
    <row r="32">
      <c r="A32" s="87"/>
      <c r="B32" s="87"/>
      <c r="C32" s="87"/>
      <c r="D32" s="358" t="s">
        <v>293</v>
      </c>
      <c r="F32" s="362">
        <f>F31*10.764</f>
        <v>93.00096</v>
      </c>
      <c r="G32" s="390" t="s">
        <v>30</v>
      </c>
      <c r="H32" s="332"/>
      <c r="I32" s="322"/>
      <c r="J32" s="322"/>
      <c r="K32" s="87"/>
      <c r="L32" s="87"/>
      <c r="M32" s="87"/>
      <c r="N32" s="87"/>
    </row>
    <row r="33">
      <c r="A33" s="367" t="s">
        <v>294</v>
      </c>
      <c r="B33" s="87"/>
      <c r="C33" s="87"/>
      <c r="D33" s="368"/>
      <c r="E33" s="368"/>
      <c r="F33" s="368"/>
      <c r="G33" s="368"/>
      <c r="H33" s="332"/>
      <c r="I33" s="322"/>
      <c r="J33" s="322"/>
      <c r="K33" s="87"/>
      <c r="L33" s="87"/>
      <c r="M33" s="87"/>
      <c r="N33" s="87"/>
    </row>
    <row r="34">
      <c r="A34" s="337" t="s">
        <v>285</v>
      </c>
      <c r="B34" s="255">
        <f t="shared" ref="B34:B36" si="17">$B$3*2</f>
        <v>2</v>
      </c>
      <c r="C34" s="338">
        <f>$C$3</f>
        <v>2</v>
      </c>
      <c r="D34" s="339">
        <f t="shared" ref="D34:D35" si="18">$D$3</f>
        <v>1.2</v>
      </c>
      <c r="E34" s="340">
        <v>0.0</v>
      </c>
      <c r="F34" s="341">
        <f>B34*C34*D34</f>
        <v>4.8</v>
      </c>
      <c r="G34" s="368"/>
      <c r="H34" s="332"/>
      <c r="I34" s="322"/>
      <c r="J34" s="322"/>
      <c r="K34" s="87"/>
      <c r="L34" s="87"/>
      <c r="M34" s="87"/>
      <c r="N34" s="87"/>
    </row>
    <row r="35">
      <c r="A35" s="87" t="s">
        <v>262</v>
      </c>
      <c r="B35" s="255">
        <f t="shared" si="17"/>
        <v>2</v>
      </c>
      <c r="C35" s="345">
        <v>0.0</v>
      </c>
      <c r="D35" s="339">
        <f t="shared" si="18"/>
        <v>1.2</v>
      </c>
      <c r="E35" s="339">
        <f t="shared" ref="E35:E38" si="19">$E$3</f>
        <v>0.6</v>
      </c>
      <c r="F35" s="341">
        <f>B35*D35*E35</f>
        <v>1.44</v>
      </c>
      <c r="G35" s="368"/>
      <c r="H35" s="332"/>
      <c r="I35" s="322"/>
      <c r="J35" s="322"/>
      <c r="K35" s="87"/>
      <c r="L35" s="87"/>
      <c r="M35" s="87"/>
      <c r="N35" s="87"/>
    </row>
    <row r="36">
      <c r="A36" s="87" t="s">
        <v>264</v>
      </c>
      <c r="B36" s="255">
        <f t="shared" si="17"/>
        <v>2</v>
      </c>
      <c r="C36" s="338">
        <f>$C$3</f>
        <v>2</v>
      </c>
      <c r="D36" s="340">
        <v>0.0</v>
      </c>
      <c r="E36" s="339">
        <f t="shared" si="19"/>
        <v>0.6</v>
      </c>
      <c r="F36" s="341">
        <f>B36*C36*E36</f>
        <v>2.4</v>
      </c>
      <c r="G36" s="368"/>
      <c r="H36" s="332"/>
      <c r="I36" s="322"/>
      <c r="J36" s="322"/>
      <c r="K36" s="87"/>
      <c r="L36" s="87"/>
      <c r="M36" s="87"/>
      <c r="N36" s="87"/>
    </row>
    <row r="37">
      <c r="A37" s="87" t="s">
        <v>265</v>
      </c>
      <c r="B37" s="393">
        <v>0.0</v>
      </c>
      <c r="C37" s="345">
        <v>0.0</v>
      </c>
      <c r="D37" s="339">
        <f>$D$3</f>
        <v>1.2</v>
      </c>
      <c r="E37" s="339">
        <f t="shared" si="19"/>
        <v>0.6</v>
      </c>
      <c r="F37" s="341">
        <f>B37*D37*E37</f>
        <v>0</v>
      </c>
      <c r="G37" s="368"/>
      <c r="H37" s="332"/>
      <c r="I37" s="322"/>
      <c r="J37" s="322"/>
      <c r="K37" s="87"/>
      <c r="L37" s="87"/>
      <c r="M37" s="87"/>
      <c r="N37" s="87"/>
    </row>
    <row r="38">
      <c r="A38" s="337" t="s">
        <v>267</v>
      </c>
      <c r="B38" s="393">
        <v>0.0</v>
      </c>
      <c r="C38" s="338">
        <f>$C$3</f>
        <v>2</v>
      </c>
      <c r="D38" s="340">
        <v>0.0</v>
      </c>
      <c r="E38" s="339">
        <f t="shared" si="19"/>
        <v>0.6</v>
      </c>
      <c r="F38" s="341">
        <f>B38*C38*E38</f>
        <v>0</v>
      </c>
      <c r="G38" s="368"/>
      <c r="H38" s="332"/>
      <c r="I38" s="322"/>
      <c r="J38" s="322"/>
      <c r="K38" s="87"/>
      <c r="L38" s="87"/>
      <c r="M38" s="87"/>
      <c r="N38" s="87"/>
    </row>
    <row r="39">
      <c r="A39" s="350" t="s">
        <v>270</v>
      </c>
      <c r="B39" s="351">
        <f>I3</f>
        <v>0</v>
      </c>
      <c r="C39" s="352">
        <f>$H$4</f>
        <v>0.4</v>
      </c>
      <c r="D39" s="352">
        <f>$I$4</f>
        <v>0.225</v>
      </c>
      <c r="E39" s="352">
        <f>$J$4</f>
        <v>0.6</v>
      </c>
      <c r="F39" s="341"/>
      <c r="G39" s="368"/>
      <c r="H39" s="332"/>
      <c r="I39" s="322"/>
      <c r="J39" s="322"/>
      <c r="K39" s="87"/>
      <c r="L39" s="87"/>
      <c r="M39" s="87"/>
      <c r="N39" s="87"/>
    </row>
    <row r="40">
      <c r="A40" s="87" t="s">
        <v>272</v>
      </c>
      <c r="B40" s="393">
        <v>0.0</v>
      </c>
      <c r="C40" s="338">
        <f>$C$13</f>
        <v>0.4</v>
      </c>
      <c r="D40" s="345">
        <v>0.0</v>
      </c>
      <c r="E40" s="338">
        <f t="shared" ref="E40:E41" si="20">$E$13</f>
        <v>0.6</v>
      </c>
      <c r="F40" s="341">
        <f>B40*C40*E40</f>
        <v>0</v>
      </c>
      <c r="G40" s="368"/>
      <c r="H40" s="332"/>
      <c r="I40" s="322"/>
      <c r="J40" s="322"/>
      <c r="K40" s="87"/>
      <c r="L40" s="87"/>
      <c r="M40" s="87"/>
      <c r="N40" s="87"/>
    </row>
    <row r="41">
      <c r="A41" s="87" t="s">
        <v>262</v>
      </c>
      <c r="B41" s="393">
        <v>0.0</v>
      </c>
      <c r="C41" s="345">
        <v>0.0</v>
      </c>
      <c r="D41" s="338">
        <f t="shared" ref="D41:D42" si="21">$D$13</f>
        <v>0.225</v>
      </c>
      <c r="E41" s="338">
        <f t="shared" si="20"/>
        <v>0.6</v>
      </c>
      <c r="F41" s="341">
        <f>B41*D41*E41</f>
        <v>0</v>
      </c>
      <c r="G41" s="368"/>
      <c r="H41" s="332"/>
      <c r="I41" s="322"/>
      <c r="J41" s="322"/>
      <c r="K41" s="87"/>
      <c r="L41" s="87"/>
      <c r="M41" s="87"/>
      <c r="N41" s="87"/>
    </row>
    <row r="42">
      <c r="A42" s="87" t="s">
        <v>323</v>
      </c>
      <c r="B42" s="255">
        <f>I3</f>
        <v>0</v>
      </c>
      <c r="C42" s="338">
        <f>$C$13</f>
        <v>0.4</v>
      </c>
      <c r="D42" s="338">
        <f t="shared" si="21"/>
        <v>0.225</v>
      </c>
      <c r="E42" s="345">
        <v>0.0</v>
      </c>
      <c r="F42" s="341">
        <f>B42*C42*D42</f>
        <v>0</v>
      </c>
      <c r="G42" s="368"/>
      <c r="H42" s="332"/>
      <c r="I42" s="322"/>
      <c r="J42" s="322"/>
      <c r="K42" s="87"/>
      <c r="L42" s="87"/>
      <c r="M42" s="87"/>
      <c r="N42" s="87"/>
    </row>
    <row r="43">
      <c r="A43" s="87"/>
      <c r="B43" s="87"/>
      <c r="C43" s="87"/>
      <c r="E43" s="387"/>
      <c r="F43" s="388">
        <f>SUM(F34:F42)</f>
        <v>8.64</v>
      </c>
      <c r="G43" s="389" t="s">
        <v>292</v>
      </c>
      <c r="H43" s="332"/>
      <c r="I43" s="322"/>
      <c r="J43" s="322"/>
      <c r="K43" s="87"/>
      <c r="L43" s="87"/>
      <c r="M43" s="87"/>
      <c r="N43" s="87"/>
    </row>
    <row r="44">
      <c r="A44" s="87"/>
      <c r="B44" s="87"/>
      <c r="C44" s="87"/>
      <c r="D44" s="358" t="s">
        <v>293</v>
      </c>
      <c r="F44" s="362">
        <f>F43*10.764</f>
        <v>93.00096</v>
      </c>
      <c r="G44" s="390" t="s">
        <v>30</v>
      </c>
      <c r="H44" s="332"/>
      <c r="I44" s="322"/>
      <c r="J44" s="322"/>
      <c r="K44" s="87"/>
      <c r="L44" s="87"/>
      <c r="M44" s="87"/>
      <c r="N44" s="87"/>
    </row>
    <row r="45">
      <c r="A45" s="87"/>
      <c r="B45" s="87"/>
      <c r="C45" s="87"/>
      <c r="D45" s="368"/>
      <c r="E45" s="368"/>
      <c r="F45" s="368"/>
      <c r="G45" s="368"/>
      <c r="H45" s="332"/>
      <c r="I45" s="322"/>
      <c r="J45" s="322"/>
      <c r="K45" s="87"/>
      <c r="L45" s="87"/>
      <c r="M45" s="87"/>
      <c r="N45" s="87"/>
    </row>
    <row r="46">
      <c r="A46" s="337"/>
      <c r="B46" s="87"/>
      <c r="C46" s="87"/>
      <c r="D46" s="368"/>
      <c r="E46" s="368"/>
      <c r="F46" s="368"/>
      <c r="G46" s="368"/>
      <c r="H46" s="332"/>
      <c r="I46" s="322"/>
      <c r="J46" s="322"/>
      <c r="K46" s="87"/>
      <c r="L46" s="87"/>
      <c r="M46" s="87"/>
      <c r="N46" s="87"/>
    </row>
    <row r="47">
      <c r="A47" s="87"/>
      <c r="B47" s="87"/>
      <c r="C47" s="87"/>
      <c r="D47" s="368"/>
      <c r="E47" s="368"/>
      <c r="F47" s="368"/>
      <c r="G47" s="368"/>
      <c r="H47" s="332"/>
      <c r="I47" s="322"/>
      <c r="J47" s="322"/>
      <c r="K47" s="87"/>
      <c r="L47" s="87"/>
      <c r="M47" s="87"/>
      <c r="N47" s="87"/>
    </row>
    <row r="48">
      <c r="A48" s="87"/>
      <c r="B48" s="337"/>
      <c r="C48" s="87"/>
      <c r="D48" s="368"/>
      <c r="E48" s="368"/>
      <c r="F48" s="368"/>
      <c r="G48" s="368"/>
      <c r="H48" s="332"/>
      <c r="I48" s="322"/>
      <c r="J48" s="322"/>
      <c r="K48" s="87"/>
      <c r="L48" s="87"/>
      <c r="M48" s="87"/>
      <c r="N48" s="87"/>
    </row>
    <row r="49">
      <c r="A49" s="87"/>
      <c r="B49" s="87"/>
      <c r="C49" s="87"/>
      <c r="D49" s="368"/>
      <c r="E49" s="368"/>
      <c r="F49" s="368"/>
      <c r="G49" s="368"/>
      <c r="H49" s="368"/>
      <c r="I49" s="333"/>
      <c r="J49" s="333"/>
      <c r="K49" s="87"/>
      <c r="L49" s="87"/>
      <c r="M49" s="87"/>
      <c r="N49" s="87"/>
    </row>
    <row r="50">
      <c r="A50" s="87"/>
      <c r="B50" s="87"/>
      <c r="C50" s="87"/>
      <c r="D50" s="368"/>
      <c r="E50" s="368"/>
      <c r="F50" s="368"/>
      <c r="G50" s="368"/>
      <c r="H50" s="368"/>
      <c r="I50" s="333"/>
      <c r="J50" s="333"/>
      <c r="K50" s="87"/>
      <c r="L50" s="87"/>
      <c r="M50" s="87"/>
      <c r="N50" s="87"/>
    </row>
    <row r="51">
      <c r="A51" s="87"/>
      <c r="B51" s="87"/>
      <c r="C51" s="87"/>
      <c r="D51" s="368"/>
      <c r="E51" s="368"/>
      <c r="F51" s="368"/>
      <c r="G51" s="368"/>
      <c r="H51" s="368"/>
      <c r="I51" s="333"/>
      <c r="J51" s="333"/>
      <c r="K51" s="477"/>
      <c r="L51" s="87"/>
      <c r="M51" s="87"/>
      <c r="N51" s="87"/>
    </row>
    <row r="52">
      <c r="A52" s="87"/>
      <c r="B52" s="87"/>
      <c r="C52" s="87"/>
      <c r="D52" s="368"/>
      <c r="E52" s="332"/>
      <c r="F52" s="332"/>
      <c r="G52" s="368"/>
      <c r="H52" s="332"/>
      <c r="I52" s="322"/>
      <c r="J52" s="322"/>
      <c r="K52" s="87"/>
      <c r="L52" s="87"/>
      <c r="M52" s="87"/>
      <c r="N52" s="87"/>
    </row>
    <row r="53">
      <c r="A53" s="87"/>
      <c r="B53" s="87"/>
      <c r="C53" s="87"/>
      <c r="D53" s="368"/>
      <c r="E53" s="368"/>
      <c r="F53" s="368"/>
      <c r="G53" s="368"/>
      <c r="H53" s="339"/>
      <c r="I53" s="322"/>
      <c r="J53" s="322"/>
      <c r="K53" s="87"/>
      <c r="L53" s="87"/>
      <c r="M53" s="87"/>
      <c r="N53" s="87"/>
    </row>
    <row r="54">
      <c r="A54" s="87"/>
      <c r="B54" s="87"/>
      <c r="C54" s="87"/>
      <c r="D54" s="368"/>
      <c r="E54" s="368"/>
      <c r="F54" s="368"/>
      <c r="G54" s="368"/>
      <c r="H54" s="332"/>
      <c r="I54" s="322"/>
      <c r="J54" s="322"/>
      <c r="K54" s="87"/>
      <c r="L54" s="87"/>
      <c r="M54" s="87"/>
      <c r="N54" s="87"/>
    </row>
    <row r="55">
      <c r="A55" s="87"/>
      <c r="B55" s="87"/>
      <c r="C55" s="87"/>
      <c r="D55" s="368"/>
      <c r="E55" s="368"/>
      <c r="F55" s="368"/>
      <c r="G55" s="368"/>
      <c r="H55" s="332"/>
      <c r="I55" s="322"/>
      <c r="J55" s="322"/>
      <c r="K55" s="87"/>
      <c r="L55" s="87"/>
      <c r="M55" s="87"/>
      <c r="N55" s="87"/>
    </row>
    <row r="56">
      <c r="A56" s="87"/>
      <c r="B56" s="87"/>
      <c r="C56" s="87"/>
      <c r="D56" s="368"/>
      <c r="E56" s="368"/>
      <c r="F56" s="368"/>
      <c r="G56" s="368"/>
      <c r="H56" s="332"/>
      <c r="I56" s="322"/>
      <c r="J56" s="322"/>
      <c r="K56" s="87"/>
      <c r="L56" s="87"/>
      <c r="M56" s="87"/>
      <c r="N56" s="87"/>
    </row>
    <row r="57">
      <c r="A57" s="87"/>
      <c r="B57" s="87"/>
      <c r="C57" s="87"/>
      <c r="D57" s="368"/>
      <c r="E57" s="368"/>
      <c r="F57" s="368"/>
      <c r="G57" s="368"/>
      <c r="H57" s="332"/>
      <c r="I57" s="322"/>
      <c r="J57" s="322"/>
      <c r="K57" s="87"/>
      <c r="L57" s="87"/>
      <c r="M57" s="87"/>
      <c r="N57" s="87"/>
    </row>
    <row r="58">
      <c r="A58" s="87"/>
      <c r="B58" s="87"/>
      <c r="C58" s="87"/>
      <c r="D58" s="368"/>
      <c r="E58" s="368"/>
      <c r="F58" s="368"/>
      <c r="G58" s="368"/>
      <c r="H58" s="332"/>
      <c r="I58" s="322"/>
      <c r="J58" s="322"/>
      <c r="K58" s="87"/>
      <c r="L58" s="87"/>
      <c r="M58" s="87"/>
      <c r="N58" s="87"/>
    </row>
    <row r="59">
      <c r="A59" s="87"/>
      <c r="B59" s="87"/>
      <c r="C59" s="87"/>
      <c r="D59" s="368"/>
      <c r="E59" s="368"/>
      <c r="F59" s="368"/>
      <c r="G59" s="368"/>
      <c r="H59" s="332"/>
      <c r="I59" s="322"/>
      <c r="J59" s="322"/>
      <c r="K59" s="87"/>
      <c r="L59" s="87"/>
      <c r="M59" s="87"/>
      <c r="N59" s="87"/>
    </row>
    <row r="60">
      <c r="A60" s="87"/>
      <c r="B60" s="87"/>
      <c r="C60" s="87"/>
      <c r="D60" s="368"/>
      <c r="E60" s="368"/>
      <c r="F60" s="368"/>
      <c r="G60" s="368"/>
      <c r="H60" s="368"/>
      <c r="I60" s="333"/>
      <c r="J60" s="404"/>
      <c r="K60" s="87"/>
      <c r="L60" s="87"/>
      <c r="M60" s="87"/>
      <c r="N60" s="87"/>
    </row>
    <row r="61">
      <c r="A61" s="407"/>
      <c r="B61" s="87"/>
      <c r="C61" s="87"/>
      <c r="D61" s="408"/>
      <c r="E61" s="368"/>
      <c r="F61" s="368"/>
      <c r="G61" s="368"/>
      <c r="H61" s="368"/>
      <c r="I61" s="333"/>
      <c r="J61" s="333"/>
      <c r="K61" s="477"/>
      <c r="L61" s="87"/>
      <c r="M61" s="87"/>
      <c r="N61" s="87"/>
    </row>
    <row r="62">
      <c r="A62" s="87"/>
      <c r="B62" s="87"/>
      <c r="C62" s="87"/>
      <c r="D62" s="368"/>
      <c r="E62" s="368"/>
      <c r="F62" s="368"/>
      <c r="G62" s="368"/>
      <c r="H62" s="409"/>
      <c r="I62" s="404"/>
      <c r="J62" s="404"/>
      <c r="K62" s="87"/>
      <c r="L62" s="482"/>
      <c r="M62" s="483"/>
      <c r="N62" s="87"/>
    </row>
    <row r="63">
      <c r="A63" s="87"/>
      <c r="B63" s="407"/>
      <c r="C63" s="410"/>
      <c r="D63" s="368"/>
      <c r="E63" s="368"/>
      <c r="F63" s="368"/>
      <c r="G63" s="368"/>
      <c r="H63" s="409"/>
      <c r="I63" s="404"/>
      <c r="J63" s="404"/>
      <c r="K63" s="87"/>
      <c r="L63" s="482"/>
      <c r="M63" s="483"/>
      <c r="N63" s="87"/>
    </row>
    <row r="64">
      <c r="A64" s="87"/>
      <c r="B64" s="407"/>
      <c r="C64" s="87"/>
      <c r="D64" s="368"/>
      <c r="E64" s="368"/>
      <c r="F64" s="368"/>
      <c r="G64" s="368"/>
      <c r="H64" s="409"/>
      <c r="I64" s="404"/>
      <c r="J64" s="404"/>
      <c r="K64" s="87"/>
      <c r="L64" s="482"/>
      <c r="M64" s="483"/>
      <c r="N64" s="87"/>
    </row>
    <row r="65">
      <c r="A65" s="87"/>
      <c r="B65" s="87"/>
      <c r="C65" s="87"/>
      <c r="D65" s="368"/>
      <c r="E65" s="368"/>
      <c r="F65" s="368"/>
      <c r="G65" s="368"/>
      <c r="H65" s="332"/>
      <c r="I65" s="404"/>
      <c r="J65" s="404"/>
      <c r="K65" s="87"/>
      <c r="L65" s="87"/>
      <c r="M65" s="87"/>
      <c r="N65" s="87"/>
    </row>
    <row r="66">
      <c r="A66" s="407"/>
      <c r="B66" s="87"/>
      <c r="C66" s="87"/>
      <c r="D66" s="368"/>
      <c r="E66" s="368"/>
      <c r="F66" s="368"/>
      <c r="G66" s="368"/>
      <c r="H66" s="368"/>
      <c r="I66" s="333"/>
      <c r="J66" s="333"/>
      <c r="K66" s="87"/>
      <c r="L66" s="87"/>
      <c r="M66" s="87"/>
      <c r="N66" s="87"/>
    </row>
    <row r="67">
      <c r="A67" s="87"/>
      <c r="B67" s="407"/>
      <c r="C67" s="87"/>
      <c r="D67" s="368"/>
      <c r="E67" s="368"/>
      <c r="F67" s="368"/>
      <c r="G67" s="368"/>
      <c r="H67" s="332"/>
      <c r="I67" s="404"/>
      <c r="J67" s="404"/>
      <c r="K67" s="87"/>
      <c r="L67" s="87"/>
      <c r="M67" s="87"/>
      <c r="N67" s="87"/>
    </row>
    <row r="68">
      <c r="A68" s="87"/>
      <c r="B68" s="87"/>
      <c r="C68" s="87"/>
      <c r="D68" s="368"/>
      <c r="E68" s="368"/>
      <c r="F68" s="368"/>
      <c r="G68" s="368"/>
      <c r="H68" s="368"/>
      <c r="I68" s="333"/>
      <c r="J68" s="333"/>
      <c r="K68" s="87"/>
      <c r="L68" s="87"/>
      <c r="M68" s="87"/>
      <c r="N68" s="87"/>
    </row>
    <row r="69">
      <c r="A69" s="87"/>
      <c r="B69" s="407"/>
      <c r="C69" s="87"/>
      <c r="D69" s="368"/>
      <c r="E69" s="368"/>
      <c r="F69" s="368"/>
      <c r="G69" s="368"/>
      <c r="H69" s="368"/>
      <c r="I69" s="333"/>
      <c r="J69" s="322"/>
      <c r="K69" s="484"/>
      <c r="L69" s="87"/>
      <c r="M69" s="87"/>
      <c r="N69" s="87"/>
    </row>
    <row r="70">
      <c r="A70" s="87"/>
      <c r="B70" s="87"/>
      <c r="C70" s="87"/>
      <c r="D70" s="87"/>
      <c r="E70" s="87"/>
      <c r="F70" s="87"/>
      <c r="G70" s="87"/>
      <c r="H70" s="87"/>
      <c r="I70" s="333"/>
      <c r="J70" s="333"/>
      <c r="K70" s="87"/>
      <c r="L70" s="87"/>
      <c r="M70" s="87"/>
      <c r="N70" s="87"/>
    </row>
    <row r="71">
      <c r="A71" s="87"/>
      <c r="B71" s="87"/>
      <c r="C71" s="87"/>
      <c r="D71" s="87"/>
      <c r="E71" s="87"/>
      <c r="F71" s="87"/>
      <c r="G71" s="87"/>
      <c r="H71" s="411"/>
      <c r="I71" s="87"/>
      <c r="J71" s="412"/>
      <c r="K71" s="87"/>
      <c r="L71" s="87"/>
      <c r="M71" s="87"/>
      <c r="N71" s="87"/>
    </row>
    <row r="72">
      <c r="A72" s="87"/>
      <c r="B72" s="87"/>
      <c r="C72" s="87"/>
      <c r="D72" s="87"/>
      <c r="E72" s="87"/>
      <c r="F72" s="87"/>
      <c r="G72" s="87"/>
      <c r="H72" s="411"/>
      <c r="I72" s="87"/>
      <c r="J72" s="412"/>
      <c r="K72" s="87"/>
      <c r="L72" s="87"/>
      <c r="M72" s="87"/>
      <c r="N72" s="87"/>
    </row>
    <row r="73">
      <c r="A73" s="87"/>
      <c r="B73" s="87"/>
      <c r="C73" s="87"/>
      <c r="D73" s="87"/>
      <c r="E73" s="87"/>
      <c r="F73" s="87"/>
      <c r="G73" s="87"/>
      <c r="H73" s="411"/>
      <c r="I73" s="87"/>
      <c r="J73" s="412"/>
      <c r="K73" s="87"/>
      <c r="L73" s="87"/>
      <c r="M73" s="87"/>
      <c r="N73" s="87"/>
    </row>
    <row r="74">
      <c r="A74" s="87"/>
      <c r="B74" s="87"/>
      <c r="C74" s="87"/>
      <c r="D74" s="87"/>
      <c r="E74" s="87"/>
      <c r="F74" s="87"/>
      <c r="G74" s="87"/>
      <c r="H74" s="411"/>
      <c r="I74" s="87"/>
      <c r="J74" s="412"/>
      <c r="K74" s="87"/>
      <c r="L74" s="87"/>
      <c r="M74" s="87"/>
      <c r="N74" s="87"/>
    </row>
    <row r="75">
      <c r="A75" s="87"/>
      <c r="B75" s="87"/>
      <c r="C75" s="87"/>
      <c r="D75" s="87"/>
      <c r="E75" s="87"/>
      <c r="F75" s="87"/>
      <c r="G75" s="87"/>
      <c r="H75" s="411"/>
      <c r="I75" s="87"/>
      <c r="J75" s="412"/>
      <c r="K75" s="87"/>
      <c r="L75" s="87"/>
      <c r="M75" s="87"/>
      <c r="N75" s="87"/>
    </row>
    <row r="76">
      <c r="A76" s="87"/>
      <c r="B76" s="350"/>
      <c r="C76" s="87"/>
      <c r="D76" s="87"/>
      <c r="E76" s="87"/>
      <c r="F76" s="87"/>
      <c r="G76" s="87"/>
      <c r="H76" s="87"/>
      <c r="I76" s="87"/>
      <c r="J76" s="413"/>
      <c r="K76" s="484"/>
      <c r="L76" s="87"/>
      <c r="M76" s="87"/>
      <c r="N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484"/>
      <c r="L78" s="87"/>
      <c r="M78" s="87"/>
      <c r="N78" s="87"/>
    </row>
  </sheetData>
  <mergeCells count="12">
    <mergeCell ref="L25:O25"/>
    <mergeCell ref="L26:O26"/>
    <mergeCell ref="L27:O27"/>
    <mergeCell ref="D32:E32"/>
    <mergeCell ref="D44:E44"/>
    <mergeCell ref="A1:J1"/>
    <mergeCell ref="K1:R1"/>
    <mergeCell ref="A7:G7"/>
    <mergeCell ref="D18:E18"/>
    <mergeCell ref="L18:L20"/>
    <mergeCell ref="A20:J20"/>
    <mergeCell ref="L24:O24"/>
  </mergeCells>
  <conditionalFormatting sqref="Q32">
    <cfRule type="notContainsBlanks" dxfId="1" priority="1">
      <formula>LEN(TRIM(Q32))&gt;0</formula>
    </cfRule>
  </conditionalFormatting>
  <dataValidations>
    <dataValidation type="list" allowBlank="1" sqref="M9">
      <formula1>Master!$C$49:$C$50</formula1>
    </dataValidation>
    <dataValidation type="list" allowBlank="1" sqref="M12">
      <formula1>Master!$C$78:$C$79</formula1>
    </dataValidation>
    <dataValidation type="list" allowBlank="1" sqref="M13">
      <formula1>Master!$C$81:$C$83</formula1>
    </dataValidation>
    <dataValidation type="list" allowBlank="1" sqref="M8">
      <formula1>Master!$C$5:$C$48</formula1>
    </dataValidation>
    <dataValidation type="list" allowBlank="1" sqref="M15">
      <formula1>Master!$C$84</formula1>
    </dataValidation>
    <dataValidation type="list" allowBlank="1" sqref="M14">
      <formula1>Master!$D$86:$D$106</formula1>
    </dataValidation>
    <dataValidation type="list" allowBlank="1" sqref="M22">
      <formula1>Master!$L$77:$L$80</formula1>
    </dataValidation>
    <dataValidation type="list" allowBlank="1" sqref="M11">
      <formula1>Master!$C$76</formula1>
    </dataValidation>
    <dataValidation type="list" allowBlank="1" sqref="M18:M20">
      <formula1>Master!$C$111:$C$143</formula1>
    </dataValidation>
    <dataValidation type="list" allowBlank="1" sqref="M21">
      <formula1>"2.5%,5%"</formula1>
    </dataValidation>
    <dataValidation type="list" allowBlank="1" sqref="M10">
      <formula1>Master!$C$51:$C$60</formula1>
    </dataValidation>
    <dataValidation type="list" allowBlank="1" sqref="M17">
      <formula1>Master!$C$61:$C$74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6.0" topLeftCell="K7" activePane="bottomRight" state="frozen"/>
      <selection activeCell="K1" sqref="K1" pane="topRight"/>
      <selection activeCell="A7" sqref="A7" pane="bottomLeft"/>
      <selection activeCell="K7" sqref="K7" pane="bottomRight"/>
    </sheetView>
  </sheetViews>
  <sheetFormatPr customHeight="1" defaultColWidth="12.63" defaultRowHeight="15.75"/>
  <cols>
    <col customWidth="1" min="1" max="1" width="16.63"/>
    <col customWidth="1" min="2" max="2" width="6.13"/>
    <col customWidth="1" min="3" max="3" width="11.25"/>
    <col customWidth="1" min="4" max="4" width="9.88"/>
    <col customWidth="1" min="5" max="5" width="9.5"/>
    <col customWidth="1" min="6" max="6" width="11.25"/>
    <col customWidth="1" min="7" max="7" width="10.88"/>
    <col customWidth="1" min="9" max="9" width="7.25"/>
    <col customWidth="1" min="10" max="10" width="8.38"/>
    <col customWidth="1" min="11" max="11" width="7.5"/>
    <col customWidth="1" min="12" max="12" width="18.25"/>
    <col customWidth="1" min="13" max="13" width="17.38"/>
  </cols>
  <sheetData>
    <row r="1" ht="34.5" customHeight="1">
      <c r="A1" s="485" t="s">
        <v>306</v>
      </c>
      <c r="K1" s="348" t="s">
        <v>245</v>
      </c>
    </row>
    <row r="2">
      <c r="A2" s="473" t="s">
        <v>237</v>
      </c>
      <c r="B2" s="473" t="str">
        <f>upper(B6)</f>
        <v>NOS</v>
      </c>
      <c r="C2" s="473" t="s">
        <v>238</v>
      </c>
      <c r="D2" s="473" t="s">
        <v>239</v>
      </c>
      <c r="E2" s="473" t="s">
        <v>240</v>
      </c>
      <c r="F2" s="299"/>
      <c r="G2" s="474" t="str">
        <f>upper(A12)</f>
        <v>SHELVES </v>
      </c>
      <c r="H2" s="474" t="s">
        <v>241</v>
      </c>
      <c r="I2" s="486"/>
      <c r="J2" s="486"/>
      <c r="L2" s="255"/>
      <c r="M2" s="255"/>
      <c r="N2" s="255"/>
      <c r="O2" s="255"/>
    </row>
    <row r="3">
      <c r="A3" s="303">
        <f>roundup(C3*D3*10.764 , 0)</f>
        <v>13</v>
      </c>
      <c r="B3" s="303">
        <v>1.0</v>
      </c>
      <c r="C3" s="303">
        <v>1.0</v>
      </c>
      <c r="D3" s="303">
        <v>1.2</v>
      </c>
      <c r="E3" s="304">
        <v>0.6</v>
      </c>
      <c r="F3" s="475" t="s">
        <v>244</v>
      </c>
      <c r="G3" s="476">
        <v>1.0</v>
      </c>
      <c r="H3" s="476">
        <v>1.0</v>
      </c>
      <c r="I3" s="337"/>
      <c r="J3" s="337"/>
      <c r="K3" s="477"/>
      <c r="L3" s="87"/>
      <c r="M3" s="87"/>
      <c r="N3" s="87"/>
      <c r="O3" s="255"/>
    </row>
    <row r="4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</row>
    <row r="5">
      <c r="A5" s="331"/>
      <c r="B5" s="331"/>
      <c r="C5" s="331"/>
      <c r="D5" s="331"/>
      <c r="E5" s="331"/>
      <c r="F5" s="331"/>
      <c r="G5" s="331"/>
      <c r="H5" s="331"/>
      <c r="I5" s="331"/>
      <c r="J5" s="331" t="s">
        <v>306</v>
      </c>
      <c r="K5" s="87"/>
      <c r="L5" s="87"/>
      <c r="M5" s="87"/>
      <c r="N5" s="87"/>
    </row>
    <row r="6">
      <c r="A6" s="87"/>
      <c r="B6" s="318" t="s">
        <v>156</v>
      </c>
      <c r="C6" s="318" t="s">
        <v>252</v>
      </c>
      <c r="D6" s="319" t="s">
        <v>253</v>
      </c>
      <c r="E6" s="319" t="s">
        <v>254</v>
      </c>
      <c r="F6" s="320" t="s">
        <v>255</v>
      </c>
      <c r="G6" s="320"/>
      <c r="I6" s="425"/>
      <c r="J6" s="322"/>
      <c r="K6" s="312" t="s">
        <v>5</v>
      </c>
      <c r="L6" s="313" t="s">
        <v>246</v>
      </c>
      <c r="M6" s="313" t="s">
        <v>247</v>
      </c>
      <c r="N6" s="314" t="s">
        <v>248</v>
      </c>
      <c r="O6" s="313" t="s">
        <v>249</v>
      </c>
      <c r="P6" s="314" t="s">
        <v>250</v>
      </c>
      <c r="Q6" s="450" t="s">
        <v>251</v>
      </c>
    </row>
    <row r="7">
      <c r="A7" s="331" t="s">
        <v>259</v>
      </c>
      <c r="H7" s="332"/>
      <c r="I7" s="333"/>
      <c r="J7" s="333"/>
      <c r="K7" s="479"/>
      <c r="L7" s="479"/>
      <c r="M7" s="479"/>
      <c r="N7" s="479"/>
      <c r="O7" s="479"/>
      <c r="P7" s="479"/>
      <c r="Q7" s="480"/>
    </row>
    <row r="8">
      <c r="A8" s="337" t="s">
        <v>328</v>
      </c>
      <c r="B8" s="393">
        <v>1.0</v>
      </c>
      <c r="C8" s="338">
        <f>$C$3</f>
        <v>1</v>
      </c>
      <c r="D8" s="339">
        <f>$D$3</f>
        <v>1.2</v>
      </c>
      <c r="E8" s="340">
        <v>0.0</v>
      </c>
      <c r="F8" s="341">
        <f>B8*C8*D8</f>
        <v>1.2</v>
      </c>
      <c r="G8" s="341"/>
      <c r="H8" s="332"/>
      <c r="I8" s="452" t="s">
        <v>317</v>
      </c>
      <c r="J8" s="453">
        <f>F14*1.1</f>
        <v>61.096464</v>
      </c>
      <c r="K8" s="323">
        <v>1.0</v>
      </c>
      <c r="L8" s="323" t="str">
        <f>A7</f>
        <v>BASE MATERIAL </v>
      </c>
      <c r="M8" s="323" t="s">
        <v>329</v>
      </c>
      <c r="N8" s="325" t="s">
        <v>258</v>
      </c>
      <c r="O8" s="344">
        <f t="shared" ref="O8:O9" si="1">roundup(J8/32,0)</f>
        <v>2</v>
      </c>
      <c r="P8" s="327" t="str">
        <f>vlookup(M8,Master!$C$5:$H$110,6,0)</f>
        <v>#N/A</v>
      </c>
      <c r="Q8" s="451" t="str">
        <f t="shared" ref="Q8:Q12" si="2">P8*O8</f>
        <v>#N/A</v>
      </c>
    </row>
    <row r="9">
      <c r="A9" s="87" t="s">
        <v>262</v>
      </c>
      <c r="B9" s="255">
        <f t="shared" ref="B9:B10" si="3">$B$3*2</f>
        <v>2</v>
      </c>
      <c r="C9" s="345">
        <v>0.0</v>
      </c>
      <c r="D9" s="339">
        <f>D3</f>
        <v>1.2</v>
      </c>
      <c r="E9" s="339">
        <f t="shared" ref="E9:E12" si="4">$E$3</f>
        <v>0.6</v>
      </c>
      <c r="F9" s="341">
        <f>B9*D9*E9</f>
        <v>1.44</v>
      </c>
      <c r="G9" s="341"/>
      <c r="H9" s="332"/>
      <c r="I9" s="452" t="s">
        <v>330</v>
      </c>
      <c r="J9" s="453">
        <f>F23*1.1</f>
        <v>122.192928</v>
      </c>
      <c r="K9" s="432">
        <v>2.0</v>
      </c>
      <c r="L9" s="344" t="str">
        <f>A16</f>
        <v>FINISHING MATERIAL </v>
      </c>
      <c r="M9" s="323" t="s">
        <v>318</v>
      </c>
      <c r="N9" s="325" t="s">
        <v>258</v>
      </c>
      <c r="O9" s="355">
        <f t="shared" si="1"/>
        <v>4</v>
      </c>
      <c r="P9" s="327">
        <f>vlookup(M9,Master!$C$5:$H$110,6,0)</f>
        <v>1500</v>
      </c>
      <c r="Q9" s="451">
        <f t="shared" si="2"/>
        <v>6000</v>
      </c>
    </row>
    <row r="10">
      <c r="A10" s="87" t="s">
        <v>264</v>
      </c>
      <c r="B10" s="255">
        <f t="shared" si="3"/>
        <v>2</v>
      </c>
      <c r="C10" s="338">
        <f>$C$3</f>
        <v>1</v>
      </c>
      <c r="D10" s="340">
        <v>0.0</v>
      </c>
      <c r="E10" s="339">
        <f t="shared" si="4"/>
        <v>0.6</v>
      </c>
      <c r="F10" s="341">
        <f>B10*C10*E10</f>
        <v>1.2</v>
      </c>
      <c r="G10" s="341"/>
      <c r="H10" s="332"/>
      <c r="I10" s="343"/>
      <c r="J10" s="487"/>
      <c r="K10" s="323">
        <v>3.0</v>
      </c>
      <c r="L10" s="325" t="s">
        <v>152</v>
      </c>
      <c r="M10" s="325" t="s">
        <v>152</v>
      </c>
      <c r="N10" s="325" t="s">
        <v>269</v>
      </c>
      <c r="O10" s="355">
        <f>O8</f>
        <v>2</v>
      </c>
      <c r="P10" s="327">
        <f>vlookup(M10,Master!$C$5:$H$110,6,0)</f>
        <v>245</v>
      </c>
      <c r="Q10" s="451">
        <f t="shared" si="2"/>
        <v>490</v>
      </c>
    </row>
    <row r="11">
      <c r="A11" s="87" t="s">
        <v>265</v>
      </c>
      <c r="B11" s="255">
        <f>$H$3</f>
        <v>1</v>
      </c>
      <c r="C11" s="345">
        <v>0.0</v>
      </c>
      <c r="D11" s="339">
        <f>$D$3</f>
        <v>1.2</v>
      </c>
      <c r="E11" s="339">
        <f t="shared" si="4"/>
        <v>0.6</v>
      </c>
      <c r="F11" s="341">
        <f>B11*D11*E11</f>
        <v>0.72</v>
      </c>
      <c r="G11" s="454"/>
      <c r="H11" s="368"/>
      <c r="I11" s="333"/>
      <c r="J11" s="333"/>
      <c r="K11" s="432">
        <v>4.0</v>
      </c>
      <c r="L11" s="360" t="s">
        <v>154</v>
      </c>
      <c r="M11" s="360" t="s">
        <v>154</v>
      </c>
      <c r="N11" s="325" t="s">
        <v>269</v>
      </c>
      <c r="O11" s="361">
        <f>A3*0.15</f>
        <v>1.95</v>
      </c>
      <c r="P11" s="327">
        <f>vlookup(M11,Master!$C$5:$H$110,6,0)</f>
        <v>80</v>
      </c>
      <c r="Q11" s="451">
        <f t="shared" si="2"/>
        <v>156</v>
      </c>
    </row>
    <row r="12">
      <c r="A12" s="337" t="s">
        <v>267</v>
      </c>
      <c r="B12" s="255">
        <f>$G$3</f>
        <v>1</v>
      </c>
      <c r="C12" s="338">
        <f>$C$3</f>
        <v>1</v>
      </c>
      <c r="D12" s="340">
        <v>0.0</v>
      </c>
      <c r="E12" s="339">
        <f t="shared" si="4"/>
        <v>0.6</v>
      </c>
      <c r="F12" s="341">
        <f>B12*C12*E12</f>
        <v>0.6</v>
      </c>
      <c r="G12" s="454"/>
      <c r="H12" s="368"/>
      <c r="I12" s="333"/>
      <c r="J12" s="333"/>
      <c r="K12" s="323">
        <v>5.0</v>
      </c>
      <c r="L12" s="323" t="s">
        <v>279</v>
      </c>
      <c r="M12" s="323" t="s">
        <v>322</v>
      </c>
      <c r="N12" s="325" t="s">
        <v>30</v>
      </c>
      <c r="O12" s="357">
        <v>0.0</v>
      </c>
      <c r="P12" s="327" t="str">
        <f>vlookup(M12,Master!$C$5:$H$110,6,0)</f>
        <v>#N/A</v>
      </c>
      <c r="Q12" s="451" t="str">
        <f t="shared" si="2"/>
        <v>#N/A</v>
      </c>
    </row>
    <row r="13">
      <c r="A13" s="87"/>
      <c r="B13" s="255"/>
      <c r="C13" s="87"/>
      <c r="E13" s="387"/>
      <c r="F13" s="388">
        <f>SUM(F8:F12)</f>
        <v>5.16</v>
      </c>
      <c r="G13" s="389" t="s">
        <v>292</v>
      </c>
      <c r="H13" s="332"/>
      <c r="I13" s="333"/>
      <c r="J13" s="333"/>
      <c r="K13" s="432">
        <v>6.0</v>
      </c>
      <c r="L13" s="364" t="s">
        <v>280</v>
      </c>
      <c r="M13" s="323" t="s">
        <v>201</v>
      </c>
      <c r="N13" s="325" t="s">
        <v>30</v>
      </c>
      <c r="O13" s="357">
        <v>0.0</v>
      </c>
      <c r="P13" s="327" t="str">
        <f>vlookup(M13,Master!C111:H143,6)</f>
        <v>#N/A</v>
      </c>
      <c r="Q13" s="451">
        <f>(ifs(O13=0,0,O13&gt;=1,(O13*P13)))</f>
        <v>0</v>
      </c>
    </row>
    <row r="14">
      <c r="A14" s="87"/>
      <c r="B14" s="255"/>
      <c r="C14" s="87"/>
      <c r="D14" s="358" t="s">
        <v>293</v>
      </c>
      <c r="F14" s="362">
        <f>F13*10.764</f>
        <v>55.54224</v>
      </c>
      <c r="G14" s="390" t="s">
        <v>30</v>
      </c>
      <c r="H14" s="332"/>
      <c r="I14" s="333"/>
      <c r="J14" s="333"/>
      <c r="K14" s="323">
        <v>7.0</v>
      </c>
      <c r="L14" s="366"/>
      <c r="M14" s="323" t="s">
        <v>331</v>
      </c>
      <c r="N14" s="325" t="s">
        <v>30</v>
      </c>
      <c r="O14" s="357">
        <v>0.0</v>
      </c>
      <c r="P14" s="327" t="str">
        <f>vlookup(M14,Master!C112:H144,6)</f>
        <v>#N/A</v>
      </c>
      <c r="Q14" s="451" t="str">
        <f t="shared" ref="Q14:Q17" si="5">P14*O14</f>
        <v>#N/A</v>
      </c>
    </row>
    <row r="15">
      <c r="A15" s="363"/>
      <c r="B15" s="363"/>
      <c r="C15" s="363"/>
      <c r="D15" s="363"/>
      <c r="E15" s="363"/>
      <c r="F15" s="363"/>
      <c r="G15" s="363"/>
      <c r="H15" s="363"/>
      <c r="I15" s="363"/>
      <c r="J15" s="363"/>
      <c r="K15" s="432">
        <v>8.0</v>
      </c>
      <c r="L15" s="446"/>
      <c r="M15" s="323" t="s">
        <v>206</v>
      </c>
      <c r="N15" s="325" t="s">
        <v>30</v>
      </c>
      <c r="O15" s="357">
        <v>0.0</v>
      </c>
      <c r="P15" s="327">
        <f>vlookup(M15,Master!C113:H145,6)</f>
        <v>150</v>
      </c>
      <c r="Q15" s="451">
        <f t="shared" si="5"/>
        <v>0</v>
      </c>
    </row>
    <row r="16">
      <c r="A16" s="363" t="s">
        <v>281</v>
      </c>
      <c r="J16" s="365"/>
      <c r="K16" s="323">
        <v>9.0</v>
      </c>
      <c r="L16" s="369" t="s">
        <v>283</v>
      </c>
      <c r="M16" s="370">
        <v>0.05</v>
      </c>
      <c r="N16" s="325" t="s">
        <v>284</v>
      </c>
      <c r="O16" s="357">
        <v>1.0</v>
      </c>
      <c r="P16" s="361" t="str">
        <f>(sum(Q8:Q10)*M16)</f>
        <v>#N/A</v>
      </c>
      <c r="Q16" s="451" t="str">
        <f t="shared" si="5"/>
        <v>#N/A</v>
      </c>
    </row>
    <row r="17">
      <c r="A17" s="337" t="s">
        <v>328</v>
      </c>
      <c r="B17" s="255">
        <f t="shared" ref="B17:B19" si="6">B8*2</f>
        <v>2</v>
      </c>
      <c r="C17" s="338">
        <f>$C$3</f>
        <v>1</v>
      </c>
      <c r="D17" s="339">
        <f t="shared" ref="D17:D18" si="7">$D$3</f>
        <v>1.2</v>
      </c>
      <c r="E17" s="340">
        <v>0.0</v>
      </c>
      <c r="F17" s="341">
        <f>B17*C17*D17</f>
        <v>2.4</v>
      </c>
      <c r="G17" s="368"/>
      <c r="H17" s="332"/>
      <c r="I17" s="322"/>
      <c r="J17" s="322"/>
      <c r="K17" s="432">
        <v>10.0</v>
      </c>
      <c r="L17" s="323" t="s">
        <v>286</v>
      </c>
      <c r="M17" s="323" t="s">
        <v>332</v>
      </c>
      <c r="N17" s="325" t="s">
        <v>30</v>
      </c>
      <c r="O17" s="361">
        <f>A3</f>
        <v>13</v>
      </c>
      <c r="P17" s="327" t="str">
        <f>vlookup(M17,Master!L77:N82,5,0)</f>
        <v>#REF!</v>
      </c>
      <c r="Q17" s="451" t="str">
        <f t="shared" si="5"/>
        <v>#REF!</v>
      </c>
    </row>
    <row r="18">
      <c r="A18" s="87" t="s">
        <v>262</v>
      </c>
      <c r="B18" s="255">
        <f t="shared" si="6"/>
        <v>4</v>
      </c>
      <c r="C18" s="345">
        <v>0.0</v>
      </c>
      <c r="D18" s="339">
        <f t="shared" si="7"/>
        <v>1.2</v>
      </c>
      <c r="E18" s="339">
        <f t="shared" ref="E18:E21" si="8">$E$3</f>
        <v>0.6</v>
      </c>
      <c r="F18" s="341">
        <f>B18*D18*E18</f>
        <v>2.88</v>
      </c>
      <c r="G18" s="368"/>
      <c r="H18" s="332"/>
      <c r="I18" s="322"/>
      <c r="J18" s="322"/>
      <c r="K18" s="323">
        <v>11.0</v>
      </c>
      <c r="L18" s="455" t="s">
        <v>287</v>
      </c>
      <c r="M18" s="456"/>
      <c r="N18" s="456"/>
      <c r="O18" s="456"/>
      <c r="P18" s="435">
        <v>0.05</v>
      </c>
      <c r="Q18" s="451" t="str">
        <f>SUM(Q8:Q17)*P18</f>
        <v>#N/A</v>
      </c>
    </row>
    <row r="19">
      <c r="A19" s="87" t="s">
        <v>264</v>
      </c>
      <c r="B19" s="255">
        <f t="shared" si="6"/>
        <v>4</v>
      </c>
      <c r="C19" s="338">
        <f>$C$3</f>
        <v>1</v>
      </c>
      <c r="D19" s="340">
        <v>0.0</v>
      </c>
      <c r="E19" s="339">
        <f t="shared" si="8"/>
        <v>0.6</v>
      </c>
      <c r="F19" s="341">
        <f>B19*C19*E19</f>
        <v>2.4</v>
      </c>
      <c r="G19" s="368"/>
      <c r="H19" s="332"/>
      <c r="I19" s="322"/>
      <c r="J19" s="322"/>
      <c r="K19" s="488"/>
      <c r="L19" s="458" t="s">
        <v>288</v>
      </c>
      <c r="M19" s="276"/>
      <c r="N19" s="276"/>
      <c r="O19" s="277"/>
      <c r="P19" s="459"/>
      <c r="Q19" s="460" t="str">
        <f>SUM(Q8:Q18)</f>
        <v>#N/A</v>
      </c>
      <c r="R19" s="461" t="str">
        <f t="shared" ref="R19:R22" si="9">Q19/$A$3</f>
        <v>#N/A</v>
      </c>
      <c r="S19" s="462" t="s">
        <v>289</v>
      </c>
    </row>
    <row r="20">
      <c r="A20" s="87" t="s">
        <v>265</v>
      </c>
      <c r="B20" s="255">
        <f>H3*2</f>
        <v>2</v>
      </c>
      <c r="C20" s="345">
        <v>0.0</v>
      </c>
      <c r="D20" s="339">
        <f>$D$3</f>
        <v>1.2</v>
      </c>
      <c r="E20" s="339">
        <f t="shared" si="8"/>
        <v>0.6</v>
      </c>
      <c r="F20" s="341">
        <f>B20*D20*E20</f>
        <v>1.44</v>
      </c>
      <c r="G20" s="368"/>
      <c r="H20" s="332"/>
      <c r="I20" s="322"/>
      <c r="J20" s="322"/>
      <c r="K20" s="463"/>
      <c r="L20" s="464" t="s">
        <v>325</v>
      </c>
      <c r="M20" s="465"/>
      <c r="N20" s="465"/>
      <c r="O20" s="466"/>
      <c r="P20" s="467">
        <v>0.45</v>
      </c>
      <c r="Q20" s="489" t="str">
        <f>ROUNDUP(Q19/(1-P20),0)</f>
        <v>#N/A</v>
      </c>
      <c r="R20" s="490" t="str">
        <f t="shared" si="9"/>
        <v>#N/A</v>
      </c>
      <c r="S20" s="470" t="s">
        <v>289</v>
      </c>
    </row>
    <row r="21">
      <c r="A21" s="337" t="s">
        <v>267</v>
      </c>
      <c r="B21" s="255">
        <f>G3*2</f>
        <v>2</v>
      </c>
      <c r="C21" s="338">
        <f>$C$3</f>
        <v>1</v>
      </c>
      <c r="D21" s="340">
        <v>0.0</v>
      </c>
      <c r="E21" s="339">
        <f t="shared" si="8"/>
        <v>0.6</v>
      </c>
      <c r="F21" s="341">
        <f>B21*C21*E21</f>
        <v>1.2</v>
      </c>
      <c r="G21" s="368"/>
      <c r="H21" s="332"/>
      <c r="I21" s="322"/>
      <c r="J21" s="322"/>
      <c r="K21" s="337"/>
      <c r="L21" s="436" t="s">
        <v>326</v>
      </c>
      <c r="P21" s="437">
        <v>0.18</v>
      </c>
      <c r="Q21" s="471" t="str">
        <f t="shared" ref="Q21:Q22" si="10">ROUNDUP(Q20*(1+P21),0)</f>
        <v>#N/A</v>
      </c>
      <c r="R21" s="438" t="str">
        <f t="shared" si="9"/>
        <v>#N/A</v>
      </c>
      <c r="S21" s="384" t="s">
        <v>289</v>
      </c>
    </row>
    <row r="22">
      <c r="A22" s="87"/>
      <c r="B22" s="87"/>
      <c r="C22" s="87"/>
      <c r="E22" s="387"/>
      <c r="F22" s="388">
        <f>SUM(F17:F21)</f>
        <v>10.32</v>
      </c>
      <c r="G22" s="389" t="s">
        <v>292</v>
      </c>
      <c r="H22" s="332"/>
      <c r="I22" s="322"/>
      <c r="J22" s="322"/>
      <c r="K22" s="87"/>
      <c r="L22" s="436" t="s">
        <v>333</v>
      </c>
      <c r="P22" s="437">
        <v>0.08</v>
      </c>
      <c r="Q22" s="471" t="str">
        <f t="shared" si="10"/>
        <v>#N/A</v>
      </c>
      <c r="R22" s="438" t="str">
        <f t="shared" si="9"/>
        <v>#N/A</v>
      </c>
      <c r="S22" s="384" t="s">
        <v>289</v>
      </c>
    </row>
    <row r="23">
      <c r="A23" s="87"/>
      <c r="B23" s="87"/>
      <c r="C23" s="87"/>
      <c r="D23" s="358" t="s">
        <v>293</v>
      </c>
      <c r="F23" s="362">
        <f>F22*10.764</f>
        <v>111.08448</v>
      </c>
      <c r="G23" s="390" t="s">
        <v>30</v>
      </c>
      <c r="H23" s="332"/>
      <c r="I23" s="322"/>
      <c r="J23" s="322"/>
    </row>
    <row r="24">
      <c r="A24" s="337"/>
      <c r="B24" s="87"/>
      <c r="C24" s="87"/>
      <c r="D24" s="368"/>
      <c r="E24" s="368"/>
      <c r="F24" s="368"/>
      <c r="G24" s="368"/>
      <c r="H24" s="332"/>
      <c r="I24" s="322"/>
      <c r="J24" s="322"/>
    </row>
    <row r="25">
      <c r="A25" s="87"/>
      <c r="B25" s="87"/>
      <c r="C25" s="87"/>
      <c r="D25" s="368"/>
      <c r="E25" s="368"/>
      <c r="F25" s="368"/>
      <c r="G25" s="368"/>
      <c r="H25" s="332"/>
      <c r="I25" s="322"/>
      <c r="J25" s="322"/>
    </row>
    <row r="26">
      <c r="A26" s="87"/>
      <c r="B26" s="337"/>
      <c r="C26" s="87"/>
      <c r="D26" s="368"/>
      <c r="E26" s="368"/>
      <c r="F26" s="368"/>
      <c r="G26" s="368"/>
      <c r="H26" s="332"/>
      <c r="I26" s="322"/>
      <c r="J26" s="322"/>
    </row>
    <row r="27">
      <c r="A27" s="87"/>
      <c r="B27" s="87"/>
      <c r="C27" s="87"/>
      <c r="D27" s="368"/>
      <c r="E27" s="368"/>
      <c r="F27" s="368"/>
      <c r="G27" s="368"/>
      <c r="H27" s="368"/>
      <c r="I27" s="333"/>
      <c r="J27" s="333"/>
    </row>
    <row r="28">
      <c r="A28" s="87"/>
      <c r="B28" s="87"/>
      <c r="C28" s="87"/>
      <c r="D28" s="368"/>
      <c r="E28" s="368"/>
      <c r="F28" s="368"/>
      <c r="G28" s="368"/>
      <c r="H28" s="368"/>
      <c r="I28" s="333"/>
      <c r="J28" s="333"/>
      <c r="K28" s="87"/>
      <c r="L28" s="87"/>
      <c r="M28" s="87"/>
      <c r="N28" s="87"/>
    </row>
    <row r="29">
      <c r="A29" s="87"/>
      <c r="B29" s="87"/>
      <c r="C29" s="87"/>
      <c r="D29" s="368"/>
      <c r="E29" s="368"/>
      <c r="F29" s="368"/>
      <c r="G29" s="368"/>
      <c r="H29" s="368"/>
      <c r="I29" s="333"/>
      <c r="J29" s="333"/>
      <c r="K29" s="477"/>
      <c r="L29" s="87"/>
      <c r="M29" s="87"/>
      <c r="N29" s="87"/>
    </row>
    <row r="30">
      <c r="A30" s="87"/>
      <c r="B30" s="87"/>
      <c r="C30" s="87"/>
      <c r="D30" s="368"/>
      <c r="E30" s="332"/>
      <c r="F30" s="332"/>
      <c r="G30" s="368"/>
      <c r="H30" s="332"/>
      <c r="I30" s="322"/>
      <c r="J30" s="322"/>
      <c r="K30" s="87"/>
      <c r="L30" s="87"/>
      <c r="M30" s="87"/>
      <c r="N30" s="87"/>
    </row>
    <row r="31">
      <c r="A31" s="87"/>
      <c r="B31" s="87"/>
      <c r="C31" s="87"/>
      <c r="D31" s="368"/>
      <c r="E31" s="368"/>
      <c r="F31" s="368"/>
      <c r="G31" s="368"/>
      <c r="H31" s="339"/>
      <c r="I31" s="322"/>
      <c r="J31" s="322"/>
      <c r="K31" s="87"/>
      <c r="L31" s="87"/>
      <c r="M31" s="87"/>
      <c r="N31" s="87"/>
    </row>
    <row r="32">
      <c r="A32" s="87"/>
      <c r="B32" s="87"/>
      <c r="C32" s="87"/>
      <c r="D32" s="368"/>
      <c r="E32" s="368"/>
      <c r="F32" s="368"/>
      <c r="G32" s="368"/>
      <c r="H32" s="332"/>
      <c r="I32" s="322"/>
      <c r="J32" s="322"/>
      <c r="K32" s="87"/>
      <c r="L32" s="87"/>
      <c r="M32" s="87"/>
      <c r="N32" s="87"/>
    </row>
    <row r="33">
      <c r="A33" s="87"/>
      <c r="B33" s="87"/>
      <c r="C33" s="87"/>
      <c r="D33" s="368"/>
      <c r="E33" s="368"/>
      <c r="F33" s="368"/>
      <c r="G33" s="368"/>
      <c r="H33" s="332"/>
      <c r="I33" s="322"/>
      <c r="J33" s="322"/>
      <c r="K33" s="87"/>
      <c r="L33" s="87"/>
      <c r="M33" s="87"/>
      <c r="N33" s="87"/>
    </row>
    <row r="34">
      <c r="A34" s="87"/>
      <c r="B34" s="87"/>
      <c r="C34" s="87"/>
      <c r="D34" s="368"/>
      <c r="E34" s="368"/>
      <c r="F34" s="368"/>
      <c r="G34" s="368"/>
      <c r="H34" s="332"/>
      <c r="I34" s="322"/>
      <c r="J34" s="322"/>
      <c r="K34" s="87"/>
      <c r="L34" s="87"/>
      <c r="M34" s="87"/>
      <c r="N34" s="87"/>
    </row>
    <row r="35">
      <c r="A35" s="87"/>
      <c r="B35" s="87"/>
      <c r="C35" s="87"/>
      <c r="D35" s="368"/>
      <c r="E35" s="368"/>
      <c r="F35" s="368"/>
      <c r="G35" s="368"/>
      <c r="H35" s="332"/>
      <c r="I35" s="322"/>
      <c r="J35" s="322"/>
      <c r="K35" s="87"/>
      <c r="L35" s="87"/>
      <c r="M35" s="87"/>
      <c r="N35" s="87"/>
    </row>
    <row r="36">
      <c r="A36" s="87"/>
      <c r="B36" s="87"/>
      <c r="C36" s="87"/>
      <c r="D36" s="368"/>
      <c r="E36" s="368"/>
      <c r="F36" s="368"/>
      <c r="G36" s="368"/>
      <c r="H36" s="332"/>
      <c r="I36" s="322"/>
      <c r="J36" s="322"/>
      <c r="K36" s="87"/>
      <c r="L36" s="87"/>
      <c r="M36" s="87"/>
      <c r="N36" s="87"/>
    </row>
    <row r="37">
      <c r="A37" s="87"/>
      <c r="B37" s="87"/>
      <c r="C37" s="87"/>
      <c r="D37" s="368"/>
      <c r="E37" s="368"/>
      <c r="F37" s="368"/>
      <c r="G37" s="368"/>
      <c r="H37" s="332"/>
      <c r="I37" s="322"/>
      <c r="J37" s="322"/>
      <c r="K37" s="87"/>
      <c r="L37" s="87"/>
      <c r="M37" s="87"/>
      <c r="N37" s="87"/>
    </row>
    <row r="38">
      <c r="A38" s="87"/>
      <c r="B38" s="87"/>
      <c r="C38" s="87"/>
      <c r="D38" s="368"/>
      <c r="E38" s="368"/>
      <c r="F38" s="368"/>
      <c r="G38" s="368"/>
      <c r="H38" s="368"/>
      <c r="I38" s="333"/>
      <c r="J38" s="404"/>
      <c r="K38" s="87"/>
      <c r="L38" s="87"/>
      <c r="M38" s="87"/>
      <c r="N38" s="87"/>
    </row>
    <row r="39">
      <c r="A39" s="407"/>
      <c r="B39" s="87"/>
      <c r="C39" s="87"/>
      <c r="D39" s="408"/>
      <c r="E39" s="368"/>
      <c r="F39" s="368"/>
      <c r="G39" s="368"/>
      <c r="H39" s="368"/>
      <c r="I39" s="333"/>
      <c r="J39" s="333"/>
      <c r="K39" s="477"/>
      <c r="L39" s="87"/>
      <c r="M39" s="87"/>
      <c r="N39" s="87"/>
    </row>
    <row r="40">
      <c r="A40" s="87"/>
      <c r="B40" s="87"/>
      <c r="C40" s="87"/>
      <c r="D40" s="368"/>
      <c r="E40" s="368"/>
      <c r="F40" s="368"/>
      <c r="G40" s="368"/>
      <c r="H40" s="409"/>
      <c r="I40" s="404"/>
      <c r="J40" s="404"/>
      <c r="K40" s="87"/>
      <c r="L40" s="482"/>
      <c r="M40" s="483"/>
      <c r="N40" s="87"/>
    </row>
    <row r="41">
      <c r="A41" s="87"/>
      <c r="B41" s="407"/>
      <c r="C41" s="410"/>
      <c r="D41" s="368"/>
      <c r="E41" s="368"/>
      <c r="F41" s="368"/>
      <c r="G41" s="368"/>
      <c r="H41" s="409"/>
      <c r="I41" s="404"/>
      <c r="J41" s="404"/>
      <c r="K41" s="87"/>
      <c r="L41" s="482"/>
      <c r="M41" s="483"/>
      <c r="N41" s="87"/>
    </row>
    <row r="42">
      <c r="A42" s="87"/>
      <c r="B42" s="407"/>
      <c r="C42" s="87"/>
      <c r="D42" s="368"/>
      <c r="E42" s="368"/>
      <c r="F42" s="368"/>
      <c r="G42" s="368"/>
      <c r="H42" s="409"/>
      <c r="I42" s="404"/>
      <c r="J42" s="404"/>
      <c r="K42" s="87"/>
      <c r="L42" s="482"/>
      <c r="M42" s="483"/>
      <c r="N42" s="87"/>
    </row>
    <row r="43">
      <c r="A43" s="87"/>
      <c r="B43" s="87"/>
      <c r="C43" s="87"/>
      <c r="D43" s="368"/>
      <c r="E43" s="368"/>
      <c r="F43" s="368"/>
      <c r="G43" s="368"/>
      <c r="H43" s="332"/>
      <c r="I43" s="404"/>
      <c r="J43" s="404"/>
      <c r="K43" s="87"/>
      <c r="L43" s="87"/>
      <c r="M43" s="87"/>
      <c r="N43" s="87"/>
    </row>
    <row r="44">
      <c r="A44" s="407"/>
      <c r="B44" s="87"/>
      <c r="C44" s="87"/>
      <c r="D44" s="368"/>
      <c r="E44" s="368"/>
      <c r="F44" s="368"/>
      <c r="G44" s="368"/>
      <c r="H44" s="368"/>
      <c r="I44" s="333"/>
      <c r="J44" s="333"/>
      <c r="K44" s="87"/>
      <c r="L44" s="87"/>
      <c r="M44" s="87"/>
      <c r="N44" s="87"/>
    </row>
    <row r="45">
      <c r="A45" s="87"/>
      <c r="B45" s="407"/>
      <c r="C45" s="87"/>
      <c r="D45" s="368"/>
      <c r="E45" s="368"/>
      <c r="F45" s="368"/>
      <c r="G45" s="368"/>
      <c r="H45" s="332"/>
      <c r="I45" s="404"/>
      <c r="J45" s="404"/>
      <c r="K45" s="87"/>
      <c r="L45" s="87"/>
      <c r="M45" s="87"/>
      <c r="N45" s="87"/>
    </row>
    <row r="46">
      <c r="A46" s="87"/>
      <c r="B46" s="87"/>
      <c r="C46" s="87"/>
      <c r="D46" s="368"/>
      <c r="E46" s="368"/>
      <c r="F46" s="368"/>
      <c r="G46" s="368"/>
      <c r="H46" s="368"/>
      <c r="I46" s="333"/>
      <c r="J46" s="333"/>
      <c r="K46" s="87"/>
      <c r="L46" s="87"/>
      <c r="M46" s="87"/>
      <c r="N46" s="87"/>
    </row>
    <row r="47">
      <c r="A47" s="87"/>
      <c r="B47" s="407"/>
      <c r="C47" s="87"/>
      <c r="D47" s="368"/>
      <c r="E47" s="368"/>
      <c r="F47" s="368"/>
      <c r="G47" s="368"/>
      <c r="H47" s="368"/>
      <c r="I47" s="333"/>
      <c r="J47" s="322"/>
      <c r="K47" s="484"/>
      <c r="L47" s="87"/>
      <c r="M47" s="87"/>
      <c r="N47" s="87"/>
    </row>
    <row r="48">
      <c r="A48" s="87"/>
      <c r="B48" s="87"/>
      <c r="C48" s="87"/>
      <c r="D48" s="87"/>
      <c r="E48" s="87"/>
      <c r="F48" s="87"/>
      <c r="G48" s="87"/>
      <c r="H48" s="87"/>
      <c r="I48" s="333"/>
      <c r="J48" s="333"/>
      <c r="K48" s="87"/>
      <c r="L48" s="87"/>
      <c r="M48" s="87"/>
      <c r="N48" s="87"/>
    </row>
    <row r="49">
      <c r="A49" s="87"/>
      <c r="B49" s="87"/>
      <c r="C49" s="87"/>
      <c r="D49" s="87"/>
      <c r="E49" s="87"/>
      <c r="F49" s="87"/>
      <c r="G49" s="87"/>
      <c r="H49" s="411"/>
      <c r="I49" s="87"/>
      <c r="J49" s="412"/>
      <c r="K49" s="87"/>
      <c r="L49" s="87"/>
      <c r="M49" s="87"/>
      <c r="N49" s="87"/>
    </row>
    <row r="50">
      <c r="A50" s="87"/>
      <c r="B50" s="87"/>
      <c r="C50" s="87"/>
      <c r="D50" s="87"/>
      <c r="E50" s="87"/>
      <c r="F50" s="87"/>
      <c r="G50" s="87"/>
      <c r="H50" s="411"/>
      <c r="I50" s="87"/>
      <c r="J50" s="412"/>
      <c r="K50" s="87"/>
      <c r="L50" s="87"/>
      <c r="M50" s="87"/>
      <c r="N50" s="87"/>
    </row>
    <row r="51">
      <c r="A51" s="87"/>
      <c r="B51" s="87"/>
      <c r="C51" s="87"/>
      <c r="D51" s="87"/>
      <c r="E51" s="87"/>
      <c r="F51" s="87"/>
      <c r="G51" s="87"/>
      <c r="H51" s="411"/>
      <c r="I51" s="87"/>
      <c r="J51" s="412"/>
      <c r="K51" s="87"/>
      <c r="L51" s="87"/>
      <c r="M51" s="87"/>
      <c r="N51" s="87"/>
    </row>
    <row r="52">
      <c r="A52" s="87"/>
      <c r="B52" s="87"/>
      <c r="C52" s="87"/>
      <c r="D52" s="87"/>
      <c r="E52" s="87"/>
      <c r="F52" s="87"/>
      <c r="G52" s="87"/>
      <c r="H52" s="411"/>
      <c r="I52" s="87"/>
      <c r="J52" s="412"/>
      <c r="K52" s="87"/>
      <c r="L52" s="87"/>
      <c r="M52" s="87"/>
      <c r="N52" s="87"/>
    </row>
    <row r="53">
      <c r="A53" s="87"/>
      <c r="B53" s="87"/>
      <c r="C53" s="87"/>
      <c r="D53" s="87"/>
      <c r="E53" s="87"/>
      <c r="F53" s="87"/>
      <c r="G53" s="87"/>
      <c r="H53" s="411"/>
      <c r="I53" s="87"/>
      <c r="J53" s="412"/>
      <c r="K53" s="87"/>
      <c r="L53" s="87"/>
      <c r="M53" s="87"/>
      <c r="N53" s="87"/>
    </row>
    <row r="54">
      <c r="A54" s="87"/>
      <c r="B54" s="350"/>
      <c r="C54" s="87"/>
      <c r="D54" s="87"/>
      <c r="E54" s="87"/>
      <c r="F54" s="87"/>
      <c r="G54" s="87"/>
      <c r="H54" s="87"/>
      <c r="I54" s="87"/>
      <c r="J54" s="413"/>
      <c r="K54" s="484"/>
      <c r="L54" s="87"/>
      <c r="M54" s="87"/>
      <c r="N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484"/>
      <c r="L56" s="87"/>
      <c r="M56" s="87"/>
      <c r="N56" s="87"/>
    </row>
  </sheetData>
  <mergeCells count="11">
    <mergeCell ref="L20:O20"/>
    <mergeCell ref="L21:O21"/>
    <mergeCell ref="L22:O22"/>
    <mergeCell ref="D23:E23"/>
    <mergeCell ref="A1:J1"/>
    <mergeCell ref="K1:R1"/>
    <mergeCell ref="A7:G7"/>
    <mergeCell ref="L13:L15"/>
    <mergeCell ref="D14:E14"/>
    <mergeCell ref="A16:J16"/>
    <mergeCell ref="L19:O19"/>
  </mergeCells>
  <dataValidations>
    <dataValidation type="list" allowBlank="1" sqref="M8">
      <formula1>Master!$C$5:$C$48</formula1>
    </dataValidation>
    <dataValidation type="list" allowBlank="1" sqref="M17">
      <formula1>Master!$L$77:$L$80</formula1>
    </dataValidation>
    <dataValidation type="list" allowBlank="1" sqref="M10">
      <formula1>Master!$C$76</formula1>
    </dataValidation>
    <dataValidation type="list" allowBlank="1" sqref="M13:M15">
      <formula1>Master!$C$111:$C$143</formula1>
    </dataValidation>
    <dataValidation type="list" allowBlank="1" sqref="M16">
      <formula1>"2.5%,5%"</formula1>
    </dataValidation>
    <dataValidation type="list" allowBlank="1" sqref="M9">
      <formula1>Master!$C$51:$C$60</formula1>
    </dataValidation>
    <dataValidation type="list" allowBlank="1" sqref="M12">
      <formula1>Master!$C$61:$C$74</formula1>
    </dataValidation>
  </dataValidations>
  <drawing r:id="rId1"/>
</worksheet>
</file>